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https://fptsoftware362-my.sharepoint.com/personal/tutb_fpt_com/Documents/WIPP/TrainingContent/AI-900/"/>
    </mc:Choice>
  </mc:AlternateContent>
  <xr:revisionPtr revIDLastSave="0" documentId="8_{F09A1339-6332-464D-92E4-58BAB09E2BFC}" xr6:coauthVersionLast="47" xr6:coauthVersionMax="47" xr10:uidLastSave="{00000000-0000-0000-0000-000000000000}"/>
  <bookViews>
    <workbookView xWindow="28680" yWindow="1605" windowWidth="29040" windowHeight="15720" firstSheet="4" activeTab="4" xr2:uid="{00000000-000D-0000-FFFF-FFFF00000000}"/>
  </bookViews>
  <sheets>
    <sheet name="Cover" sheetId="1" r:id="rId1"/>
    <sheet name="Syllabus" sheetId="2" r:id="rId2"/>
    <sheet name="ScheduleDetail" sheetId="3" r:id="rId3"/>
    <sheet name="Author and Rec of Changes" sheetId="4" r:id="rId4"/>
    <sheet name="Cost Estimate" sheetId="6" r:id="rId5"/>
    <sheet name="DV-IDENTITY-0" sheetId="5" state="hidden" r:id="rId6"/>
  </sheets>
  <definedNames>
    <definedName name="_xlnm._FilterDatabase" localSheetId="2" hidden="1">ScheduleDetail!$A$2:$I$50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6" l="1"/>
  <c r="E19" i="6"/>
  <c r="G58" i="3"/>
  <c r="G57" i="3"/>
  <c r="G56" i="3"/>
  <c r="G55" i="3"/>
  <c r="G54" i="3"/>
  <c r="G53" i="3"/>
  <c r="G52" i="3"/>
  <c r="A1" i="2"/>
  <c r="A1" i="5" s="1"/>
  <c r="Q5" i="5"/>
  <c r="P5" i="5"/>
  <c r="O5" i="5"/>
  <c r="N5" i="5"/>
  <c r="M5" i="5"/>
  <c r="L5" i="5"/>
  <c r="K5" i="5"/>
  <c r="J5" i="5"/>
  <c r="I5" i="5"/>
  <c r="H5" i="5"/>
  <c r="G5" i="5"/>
  <c r="F5" i="5"/>
  <c r="E5" i="5"/>
  <c r="D5" i="5"/>
  <c r="C5" i="5"/>
  <c r="B5" i="5"/>
  <c r="AM4" i="5"/>
  <c r="AI4" i="5"/>
  <c r="AH4" i="5"/>
  <c r="AG4" i="5"/>
  <c r="AF4" i="5"/>
  <c r="AE4" i="5"/>
  <c r="AD4" i="5"/>
  <c r="AC4" i="5"/>
  <c r="AB4" i="5"/>
  <c r="AA4" i="5"/>
  <c r="Z4" i="5"/>
  <c r="Y4" i="5"/>
  <c r="X4" i="5"/>
  <c r="W4" i="5"/>
  <c r="V4" i="5"/>
  <c r="U4" i="5"/>
  <c r="T4" i="5"/>
  <c r="S4" i="5"/>
  <c r="R4" i="5"/>
  <c r="Q4" i="5"/>
  <c r="P4" i="5"/>
  <c r="O4" i="5"/>
  <c r="N4" i="5"/>
  <c r="M4" i="5"/>
  <c r="L4" i="5"/>
  <c r="K4" i="5"/>
  <c r="J4" i="5"/>
  <c r="I4" i="5"/>
  <c r="H4" i="5"/>
  <c r="G4" i="5"/>
  <c r="F4" i="5"/>
  <c r="E4" i="5"/>
  <c r="D4" i="5"/>
  <c r="C4" i="5"/>
  <c r="B4" i="5"/>
  <c r="A4" i="5"/>
  <c r="IV3" i="5"/>
  <c r="IU3" i="5"/>
  <c r="IT3" i="5"/>
  <c r="IS3" i="5"/>
  <c r="IR3" i="5"/>
  <c r="IQ3" i="5"/>
  <c r="IP3" i="5"/>
  <c r="IO3" i="5"/>
  <c r="IN3" i="5"/>
  <c r="IM3" i="5"/>
  <c r="IL3" i="5"/>
  <c r="IK3" i="5"/>
  <c r="IJ3" i="5"/>
  <c r="II3" i="5"/>
  <c r="IH3" i="5"/>
  <c r="IG3" i="5"/>
  <c r="IF3" i="5"/>
  <c r="IE3" i="5"/>
  <c r="ID3" i="5"/>
  <c r="IC3" i="5"/>
  <c r="IB3" i="5"/>
  <c r="IA3" i="5"/>
  <c r="HZ3" i="5"/>
  <c r="HY3" i="5"/>
  <c r="HX3" i="5"/>
  <c r="HW3" i="5"/>
  <c r="HV3" i="5"/>
  <c r="HU3" i="5"/>
  <c r="HT3" i="5"/>
  <c r="HS3" i="5"/>
  <c r="HR3" i="5"/>
  <c r="HQ3" i="5"/>
  <c r="HP3" i="5"/>
  <c r="HO3" i="5"/>
  <c r="HN3" i="5"/>
  <c r="HM3" i="5"/>
  <c r="HL3" i="5"/>
  <c r="HK3" i="5"/>
  <c r="HJ3" i="5"/>
  <c r="HI3" i="5"/>
  <c r="HH3" i="5"/>
  <c r="HG3" i="5"/>
  <c r="HF3" i="5"/>
  <c r="HE3" i="5"/>
  <c r="HD3" i="5"/>
  <c r="HC3" i="5"/>
  <c r="HB3" i="5"/>
  <c r="HA3" i="5"/>
  <c r="GZ3" i="5"/>
  <c r="GY3" i="5"/>
  <c r="GX3" i="5"/>
  <c r="GW3" i="5"/>
  <c r="GV3" i="5"/>
  <c r="GU3" i="5"/>
  <c r="GT3" i="5"/>
  <c r="GS3" i="5"/>
  <c r="GR3" i="5"/>
  <c r="GQ3" i="5"/>
  <c r="GP3" i="5"/>
  <c r="GO3" i="5"/>
  <c r="GN3" i="5"/>
  <c r="GM3" i="5"/>
  <c r="GL3" i="5"/>
  <c r="GK3" i="5"/>
  <c r="GJ3" i="5"/>
  <c r="GI3" i="5"/>
  <c r="GH3" i="5"/>
  <c r="GG3" i="5"/>
  <c r="GF3" i="5"/>
  <c r="GE3" i="5"/>
  <c r="GD3" i="5"/>
  <c r="GC3" i="5"/>
  <c r="GB3" i="5"/>
  <c r="GA3" i="5"/>
  <c r="FZ3" i="5"/>
  <c r="FY3" i="5"/>
  <c r="FX3" i="5"/>
  <c r="FW3" i="5"/>
  <c r="FV3" i="5"/>
  <c r="FU3" i="5"/>
  <c r="FT3" i="5"/>
  <c r="FS3" i="5"/>
  <c r="FR3" i="5"/>
  <c r="FQ3" i="5"/>
  <c r="FP3" i="5"/>
  <c r="FO3" i="5"/>
  <c r="FN3" i="5"/>
  <c r="FM3" i="5"/>
  <c r="FL3" i="5"/>
  <c r="FK3" i="5"/>
  <c r="FJ3" i="5"/>
  <c r="FI3" i="5"/>
  <c r="FH3" i="5"/>
  <c r="FG3" i="5"/>
  <c r="FF3" i="5"/>
  <c r="FE3" i="5"/>
  <c r="FD3" i="5"/>
  <c r="FC3" i="5"/>
  <c r="FB3" i="5"/>
  <c r="FA3" i="5"/>
  <c r="EZ3" i="5"/>
  <c r="EY3" i="5"/>
  <c r="EX3" i="5"/>
  <c r="EW3" i="5"/>
  <c r="EV3" i="5"/>
  <c r="EU3" i="5"/>
  <c r="ET3" i="5"/>
  <c r="ES3" i="5"/>
  <c r="ER3" i="5"/>
  <c r="EQ3" i="5"/>
  <c r="EP3" i="5"/>
  <c r="EO3" i="5"/>
  <c r="EN3" i="5"/>
  <c r="EM3" i="5"/>
  <c r="EL3" i="5"/>
  <c r="EK3" i="5"/>
  <c r="EJ3" i="5"/>
  <c r="EI3" i="5"/>
  <c r="EH3" i="5"/>
  <c r="EG3" i="5"/>
  <c r="EF3" i="5"/>
  <c r="EE3" i="5"/>
  <c r="ED3" i="5"/>
  <c r="EC3" i="5"/>
  <c r="EB3" i="5"/>
  <c r="EA3" i="5"/>
  <c r="DZ3" i="5"/>
  <c r="DY3" i="5"/>
  <c r="DX3" i="5"/>
  <c r="DW3" i="5"/>
  <c r="DV3" i="5"/>
  <c r="DU3" i="5"/>
  <c r="DT3" i="5"/>
  <c r="DS3" i="5"/>
  <c r="DR3" i="5"/>
  <c r="DQ3" i="5"/>
  <c r="DP3" i="5"/>
  <c r="DO3" i="5"/>
  <c r="DN3" i="5"/>
  <c r="DM3" i="5"/>
  <c r="DL3" i="5"/>
  <c r="DK3" i="5"/>
  <c r="DJ3" i="5"/>
  <c r="DI3" i="5"/>
  <c r="DH3" i="5"/>
  <c r="DG3" i="5"/>
  <c r="DF3" i="5"/>
  <c r="DE3" i="5"/>
  <c r="DD3" i="5"/>
  <c r="DC3" i="5"/>
  <c r="DB3" i="5"/>
  <c r="DA3" i="5"/>
  <c r="CZ3" i="5"/>
  <c r="CY3" i="5"/>
  <c r="CX3" i="5"/>
  <c r="CW3" i="5"/>
  <c r="CV3" i="5"/>
  <c r="CU3" i="5"/>
  <c r="CT3" i="5"/>
  <c r="CS3" i="5"/>
  <c r="CR3" i="5"/>
  <c r="CQ3" i="5"/>
  <c r="CP3" i="5"/>
  <c r="CO3" i="5"/>
  <c r="CN3" i="5"/>
  <c r="CM3" i="5"/>
  <c r="CL3" i="5"/>
  <c r="CK3" i="5"/>
  <c r="CJ3" i="5"/>
  <c r="CI3" i="5"/>
  <c r="CH3" i="5"/>
  <c r="CG3" i="5"/>
  <c r="CF3" i="5"/>
  <c r="CE3" i="5"/>
  <c r="CD3" i="5"/>
  <c r="CC3" i="5"/>
  <c r="CB3" i="5"/>
  <c r="CA3" i="5"/>
  <c r="BZ3" i="5"/>
  <c r="BY3" i="5"/>
  <c r="BX3" i="5"/>
  <c r="BW3" i="5"/>
  <c r="BV3" i="5"/>
  <c r="BU3" i="5"/>
  <c r="BT3" i="5"/>
  <c r="BS3" i="5"/>
  <c r="BR3" i="5"/>
  <c r="BQ3" i="5"/>
  <c r="BP3" i="5"/>
  <c r="BO3" i="5"/>
  <c r="BN3" i="5"/>
  <c r="BM3" i="5"/>
  <c r="BL3" i="5"/>
  <c r="BK3" i="5"/>
  <c r="BJ3" i="5"/>
  <c r="BI3" i="5"/>
  <c r="BH3" i="5"/>
  <c r="BG3" i="5"/>
  <c r="BF3" i="5"/>
  <c r="BE3" i="5"/>
  <c r="BD3" i="5"/>
  <c r="BC3" i="5"/>
  <c r="BB3" i="5"/>
  <c r="BA3" i="5"/>
  <c r="AZ3" i="5"/>
  <c r="AY3" i="5"/>
  <c r="AX3" i="5"/>
  <c r="AW3" i="5"/>
  <c r="AV3" i="5"/>
  <c r="AU3" i="5"/>
  <c r="AT3" i="5"/>
  <c r="AS3" i="5"/>
  <c r="AR3" i="5"/>
  <c r="AQ3" i="5"/>
  <c r="AP3" i="5"/>
  <c r="AO3" i="5"/>
  <c r="AN3" i="5"/>
  <c r="AM3" i="5"/>
  <c r="AL3" i="5"/>
  <c r="AK3" i="5"/>
  <c r="AJ3" i="5"/>
  <c r="AI3" i="5"/>
  <c r="AH3" i="5"/>
  <c r="AG3" i="5"/>
  <c r="AF3" i="5"/>
  <c r="AE3" i="5"/>
  <c r="AD3" i="5"/>
  <c r="AC3" i="5"/>
  <c r="AB3" i="5"/>
  <c r="AA3" i="5"/>
  <c r="Z3" i="5"/>
  <c r="Y3" i="5"/>
  <c r="X3" i="5"/>
  <c r="W3" i="5"/>
  <c r="V3" i="5"/>
  <c r="U3" i="5"/>
  <c r="T3" i="5"/>
  <c r="S3" i="5"/>
  <c r="R3" i="5"/>
  <c r="Q3" i="5"/>
  <c r="P3" i="5"/>
  <c r="O3" i="5"/>
  <c r="N3" i="5"/>
  <c r="M3" i="5"/>
  <c r="L3" i="5"/>
  <c r="K3" i="5"/>
  <c r="J3" i="5"/>
  <c r="I3" i="5"/>
  <c r="H3" i="5"/>
  <c r="G3" i="5"/>
  <c r="F3" i="5"/>
  <c r="E3" i="5"/>
  <c r="D3" i="5"/>
  <c r="C3" i="5"/>
  <c r="B3" i="5"/>
  <c r="A3" i="5"/>
  <c r="IV2" i="5"/>
  <c r="IU2" i="5"/>
  <c r="IT2" i="5"/>
  <c r="IS2" i="5"/>
  <c r="IR2" i="5"/>
  <c r="IQ2" i="5"/>
  <c r="IP2" i="5"/>
  <c r="IO2" i="5"/>
  <c r="IN2" i="5"/>
  <c r="IM2" i="5"/>
  <c r="IL2" i="5"/>
  <c r="IK2" i="5"/>
  <c r="IJ2" i="5"/>
  <c r="II2" i="5"/>
  <c r="IH2" i="5"/>
  <c r="IG2" i="5"/>
  <c r="IF2" i="5"/>
  <c r="IE2" i="5"/>
  <c r="ID2" i="5"/>
  <c r="IC2" i="5"/>
  <c r="IB2" i="5"/>
  <c r="IA2" i="5"/>
  <c r="HZ2" i="5"/>
  <c r="HY2" i="5"/>
  <c r="HX2" i="5"/>
  <c r="HW2" i="5"/>
  <c r="HV2" i="5"/>
  <c r="HU2" i="5"/>
  <c r="HT2" i="5"/>
  <c r="HS2" i="5"/>
  <c r="HR2" i="5"/>
  <c r="HQ2" i="5"/>
  <c r="HP2" i="5"/>
  <c r="HO2" i="5"/>
  <c r="HN2" i="5"/>
  <c r="HM2" i="5"/>
  <c r="HL2" i="5"/>
  <c r="HK2" i="5"/>
  <c r="HJ2" i="5"/>
  <c r="HI2" i="5"/>
  <c r="HH2" i="5"/>
  <c r="HG2" i="5"/>
  <c r="HF2" i="5"/>
  <c r="HE2" i="5"/>
  <c r="HD2" i="5"/>
  <c r="HC2" i="5"/>
  <c r="HB2" i="5"/>
  <c r="HA2" i="5"/>
  <c r="GZ2" i="5"/>
  <c r="GY2" i="5"/>
  <c r="GX2" i="5"/>
  <c r="GW2" i="5"/>
  <c r="GV2" i="5"/>
  <c r="GU2" i="5"/>
  <c r="GT2" i="5"/>
  <c r="GS2" i="5"/>
  <c r="GR2" i="5"/>
  <c r="GQ2" i="5"/>
  <c r="GP2" i="5"/>
  <c r="GO2" i="5"/>
  <c r="GN2" i="5"/>
  <c r="GM2" i="5"/>
  <c r="GL2" i="5"/>
  <c r="GK2" i="5"/>
  <c r="GJ2" i="5"/>
  <c r="GI2" i="5"/>
  <c r="GH2" i="5"/>
  <c r="GG2" i="5"/>
  <c r="GF2" i="5"/>
  <c r="GE2" i="5"/>
  <c r="GD2" i="5"/>
  <c r="GC2" i="5"/>
  <c r="GB2" i="5"/>
  <c r="GA2" i="5"/>
  <c r="FZ2" i="5"/>
  <c r="FY2" i="5"/>
  <c r="FX2" i="5"/>
  <c r="FW2" i="5"/>
  <c r="FV2" i="5"/>
  <c r="FU2" i="5"/>
  <c r="FT2" i="5"/>
  <c r="FS2" i="5"/>
  <c r="FR2" i="5"/>
  <c r="FQ2" i="5"/>
  <c r="FP2" i="5"/>
  <c r="FO2" i="5"/>
  <c r="FN2" i="5"/>
  <c r="FM2" i="5"/>
  <c r="FL2" i="5"/>
  <c r="FK2" i="5"/>
  <c r="FJ2" i="5"/>
  <c r="FI2" i="5"/>
  <c r="FH2" i="5"/>
  <c r="FG2" i="5"/>
  <c r="FF2" i="5"/>
  <c r="FE2" i="5"/>
  <c r="FD2" i="5"/>
  <c r="FC2" i="5"/>
  <c r="FB2" i="5"/>
  <c r="FA2" i="5"/>
  <c r="EZ2" i="5"/>
  <c r="EY2" i="5"/>
  <c r="EX2" i="5"/>
  <c r="EW2" i="5"/>
  <c r="EV2" i="5"/>
  <c r="EU2" i="5"/>
  <c r="ET2" i="5"/>
  <c r="ES2" i="5"/>
  <c r="ER2" i="5"/>
  <c r="EQ2" i="5"/>
  <c r="EP2" i="5"/>
  <c r="EO2" i="5"/>
  <c r="EN2" i="5"/>
  <c r="EM2" i="5"/>
  <c r="EL2" i="5"/>
  <c r="EK2" i="5"/>
  <c r="EJ2" i="5"/>
  <c r="EI2" i="5"/>
  <c r="EH2" i="5"/>
  <c r="EG2" i="5"/>
  <c r="EF2" i="5"/>
  <c r="EE2" i="5"/>
  <c r="ED2" i="5"/>
  <c r="EC2" i="5"/>
  <c r="EB2" i="5"/>
  <c r="EA2" i="5"/>
  <c r="DZ2" i="5"/>
  <c r="DY2" i="5"/>
  <c r="DX2" i="5"/>
  <c r="DW2" i="5"/>
  <c r="DV2" i="5"/>
  <c r="DU2" i="5"/>
  <c r="DT2" i="5"/>
  <c r="DS2" i="5"/>
  <c r="DR2" i="5"/>
  <c r="DQ2" i="5"/>
  <c r="DP2" i="5"/>
  <c r="DO2" i="5"/>
  <c r="DN2" i="5"/>
  <c r="DM2" i="5"/>
  <c r="DL2" i="5"/>
  <c r="DK2" i="5"/>
  <c r="DJ2" i="5"/>
  <c r="DI2" i="5"/>
  <c r="DH2" i="5"/>
  <c r="DG2" i="5"/>
  <c r="DF2" i="5"/>
  <c r="DE2" i="5"/>
  <c r="DD2" i="5"/>
  <c r="DC2" i="5"/>
  <c r="DB2" i="5"/>
  <c r="DA2" i="5"/>
  <c r="CZ2" i="5"/>
  <c r="CY2" i="5"/>
  <c r="CX2" i="5"/>
  <c r="CW2" i="5"/>
  <c r="CV2" i="5"/>
  <c r="CU2" i="5"/>
  <c r="CT2" i="5"/>
  <c r="CS2" i="5"/>
  <c r="CR2" i="5"/>
  <c r="CQ2" i="5"/>
  <c r="CP2" i="5"/>
  <c r="CO2" i="5"/>
  <c r="CN2" i="5"/>
  <c r="CM2" i="5"/>
  <c r="CL2" i="5"/>
  <c r="CK2" i="5"/>
  <c r="CJ2" i="5"/>
  <c r="CI2" i="5"/>
  <c r="CH2" i="5"/>
  <c r="CG2" i="5"/>
  <c r="CF2" i="5"/>
  <c r="CE2" i="5"/>
  <c r="CD2" i="5"/>
  <c r="CC2" i="5"/>
  <c r="CB2" i="5"/>
  <c r="CA2" i="5"/>
  <c r="BZ2" i="5"/>
  <c r="BY2" i="5"/>
  <c r="BX2" i="5"/>
  <c r="BW2" i="5"/>
  <c r="BV2" i="5"/>
  <c r="BU2" i="5"/>
  <c r="BT2" i="5"/>
  <c r="BS2" i="5"/>
  <c r="BR2" i="5"/>
  <c r="BQ2" i="5"/>
  <c r="BP2" i="5"/>
  <c r="BO2" i="5"/>
  <c r="BN2" i="5"/>
  <c r="BM2" i="5"/>
  <c r="BL2" i="5"/>
  <c r="BK2" i="5"/>
  <c r="BJ2" i="5"/>
  <c r="BI2" i="5"/>
  <c r="BH2" i="5"/>
  <c r="BG2" i="5"/>
  <c r="BF2" i="5"/>
  <c r="BE2" i="5"/>
  <c r="BD2" i="5"/>
  <c r="BC2" i="5"/>
  <c r="BB2" i="5"/>
  <c r="BA2" i="5"/>
  <c r="AZ2" i="5"/>
  <c r="AY2" i="5"/>
  <c r="AX2" i="5"/>
  <c r="AW2" i="5"/>
  <c r="AV2" i="5"/>
  <c r="AU2" i="5"/>
  <c r="AT2" i="5"/>
  <c r="AS2" i="5"/>
  <c r="AR2" i="5"/>
  <c r="AQ2" i="5"/>
  <c r="AP2" i="5"/>
  <c r="AO2" i="5"/>
  <c r="AN2" i="5"/>
  <c r="AM2" i="5"/>
  <c r="AL2" i="5"/>
  <c r="AK2" i="5"/>
  <c r="AJ2" i="5"/>
  <c r="AI2" i="5"/>
  <c r="AH2" i="5"/>
  <c r="AG2" i="5"/>
  <c r="AF2" i="5"/>
  <c r="AE2" i="5"/>
  <c r="AD2" i="5"/>
  <c r="AC2" i="5"/>
  <c r="AB2" i="5"/>
  <c r="AA2" i="5"/>
  <c r="Z2" i="5"/>
  <c r="Y2" i="5"/>
  <c r="X2" i="5"/>
  <c r="W2" i="5"/>
  <c r="V2" i="5"/>
  <c r="U2" i="5"/>
  <c r="T2" i="5"/>
  <c r="S2" i="5"/>
  <c r="R2" i="5"/>
  <c r="Q2" i="5"/>
  <c r="P2" i="5"/>
  <c r="O2" i="5"/>
  <c r="N2" i="5"/>
  <c r="M2" i="5"/>
  <c r="L2" i="5"/>
  <c r="K2" i="5"/>
  <c r="J2" i="5"/>
  <c r="I2" i="5"/>
  <c r="H2" i="5"/>
  <c r="G2" i="5"/>
  <c r="F2" i="5"/>
  <c r="E2" i="5"/>
  <c r="D2" i="5"/>
  <c r="C2" i="5"/>
  <c r="B2" i="5"/>
  <c r="A2" i="5"/>
  <c r="IV1" i="5"/>
  <c r="IU1" i="5"/>
  <c r="IT1" i="5"/>
  <c r="IS1" i="5"/>
  <c r="IR1" i="5"/>
  <c r="IQ1" i="5"/>
  <c r="IP1" i="5"/>
  <c r="IO1" i="5"/>
  <c r="IN1" i="5"/>
  <c r="IM1" i="5"/>
  <c r="IL1" i="5"/>
  <c r="IK1" i="5"/>
  <c r="IJ1" i="5"/>
  <c r="II1" i="5"/>
  <c r="IH1" i="5"/>
  <c r="IG1" i="5"/>
  <c r="IF1" i="5"/>
  <c r="IE1" i="5"/>
  <c r="ID1" i="5"/>
  <c r="IC1" i="5"/>
  <c r="IB1" i="5"/>
  <c r="IA1" i="5"/>
  <c r="HZ1" i="5"/>
  <c r="HY1" i="5"/>
  <c r="HX1" i="5"/>
  <c r="HW1" i="5"/>
  <c r="HV1" i="5"/>
  <c r="HU1" i="5"/>
  <c r="HT1" i="5"/>
  <c r="HS1" i="5"/>
  <c r="HR1" i="5"/>
  <c r="HQ1" i="5"/>
  <c r="HP1" i="5"/>
  <c r="HO1" i="5"/>
  <c r="HN1" i="5"/>
  <c r="HM1" i="5"/>
  <c r="HL1" i="5"/>
  <c r="HK1" i="5"/>
  <c r="HJ1" i="5"/>
  <c r="HI1" i="5"/>
  <c r="HH1" i="5"/>
  <c r="HG1" i="5"/>
  <c r="HF1" i="5"/>
  <c r="HE1" i="5"/>
  <c r="HD1" i="5"/>
  <c r="HC1" i="5"/>
  <c r="HB1" i="5"/>
  <c r="HA1" i="5"/>
  <c r="GZ1" i="5"/>
  <c r="GY1" i="5"/>
  <c r="GX1" i="5"/>
  <c r="GW1" i="5"/>
  <c r="GV1" i="5"/>
  <c r="GU1" i="5"/>
  <c r="GT1" i="5"/>
  <c r="GS1" i="5"/>
  <c r="GR1" i="5"/>
  <c r="GQ1" i="5"/>
  <c r="GP1" i="5"/>
  <c r="GO1" i="5"/>
  <c r="GN1" i="5"/>
  <c r="GM1" i="5"/>
  <c r="GL1" i="5"/>
  <c r="GK1" i="5"/>
  <c r="GJ1" i="5"/>
  <c r="GI1" i="5"/>
  <c r="GH1" i="5"/>
  <c r="GG1" i="5"/>
  <c r="GF1" i="5"/>
  <c r="GE1" i="5"/>
  <c r="GD1" i="5"/>
  <c r="GC1" i="5"/>
  <c r="GB1" i="5"/>
  <c r="GA1" i="5"/>
  <c r="FZ1" i="5"/>
  <c r="FY1" i="5"/>
  <c r="FX1" i="5"/>
  <c r="FW1" i="5"/>
  <c r="FV1" i="5"/>
  <c r="FU1" i="5"/>
  <c r="FT1" i="5"/>
  <c r="FS1" i="5"/>
  <c r="FR1" i="5"/>
  <c r="FQ1" i="5"/>
  <c r="FP1" i="5"/>
  <c r="FO1" i="5"/>
  <c r="FN1" i="5"/>
  <c r="FM1" i="5"/>
  <c r="FL1" i="5"/>
  <c r="FK1" i="5"/>
  <c r="FJ1" i="5"/>
  <c r="FI1" i="5"/>
  <c r="FH1" i="5"/>
  <c r="FG1" i="5"/>
  <c r="FF1" i="5"/>
  <c r="FE1" i="5"/>
  <c r="FD1" i="5"/>
  <c r="FC1" i="5"/>
  <c r="FB1" i="5"/>
  <c r="FA1" i="5"/>
  <c r="EZ1" i="5"/>
  <c r="EY1" i="5"/>
  <c r="EX1" i="5"/>
  <c r="EW1" i="5"/>
  <c r="EV1" i="5"/>
  <c r="EU1" i="5"/>
  <c r="ET1" i="5"/>
  <c r="ES1" i="5"/>
  <c r="ER1" i="5"/>
  <c r="EQ1" i="5"/>
  <c r="EP1" i="5"/>
  <c r="EO1" i="5"/>
  <c r="EN1" i="5"/>
  <c r="EM1" i="5"/>
  <c r="EL1" i="5"/>
  <c r="EK1" i="5"/>
  <c r="EJ1" i="5"/>
  <c r="EI1" i="5"/>
  <c r="EH1" i="5"/>
  <c r="EG1" i="5"/>
  <c r="EF1" i="5"/>
  <c r="EE1" i="5"/>
  <c r="ED1" i="5"/>
  <c r="EB1" i="5"/>
  <c r="EA1" i="5"/>
  <c r="DZ1" i="5"/>
  <c r="DY1" i="5"/>
  <c r="DX1" i="5"/>
  <c r="DW1" i="5"/>
  <c r="DV1" i="5"/>
  <c r="DT1" i="5"/>
  <c r="DS1" i="5"/>
  <c r="DR1" i="5"/>
  <c r="DQ1" i="5"/>
  <c r="DP1" i="5"/>
  <c r="DO1" i="5"/>
  <c r="DN1" i="5"/>
  <c r="DL1" i="5"/>
  <c r="DK1" i="5"/>
  <c r="DJ1" i="5"/>
  <c r="DI1" i="5"/>
  <c r="DH1" i="5"/>
  <c r="DG1" i="5"/>
  <c r="DF1" i="5"/>
  <c r="DD1" i="5"/>
  <c r="DC1" i="5"/>
  <c r="DB1" i="5"/>
  <c r="DA1" i="5"/>
  <c r="CZ1" i="5"/>
  <c r="CY1" i="5"/>
  <c r="CX1" i="5"/>
  <c r="CV1" i="5"/>
  <c r="CU1" i="5"/>
  <c r="CT1" i="5"/>
  <c r="CS1" i="5"/>
  <c r="CR1" i="5"/>
  <c r="CQ1" i="5"/>
  <c r="CP1" i="5"/>
  <c r="CO1" i="5"/>
  <c r="CN1" i="5"/>
  <c r="CM1" i="5"/>
  <c r="CL1" i="5"/>
  <c r="CK1" i="5"/>
  <c r="CJ1" i="5"/>
  <c r="CI1" i="5"/>
  <c r="CH1" i="5"/>
  <c r="CG1" i="5"/>
  <c r="CF1" i="5"/>
  <c r="CE1" i="5"/>
  <c r="CD1" i="5"/>
  <c r="CC1" i="5"/>
  <c r="CB1" i="5"/>
  <c r="CA1" i="5"/>
  <c r="BZ1" i="5"/>
  <c r="BY1" i="5"/>
  <c r="BX1" i="5"/>
  <c r="BW1" i="5"/>
  <c r="BV1" i="5"/>
  <c r="BU1" i="5"/>
  <c r="BT1" i="5"/>
  <c r="BS1" i="5"/>
  <c r="BR1" i="5"/>
  <c r="BQ1" i="5"/>
  <c r="BP1" i="5"/>
  <c r="BO1" i="5"/>
  <c r="BN1" i="5"/>
  <c r="BM1" i="5"/>
  <c r="BL1" i="5"/>
  <c r="BK1" i="5"/>
  <c r="BJ1" i="5"/>
  <c r="BI1" i="5"/>
  <c r="BH1" i="5"/>
  <c r="BG1" i="5"/>
  <c r="BF1" i="5"/>
  <c r="BE1" i="5"/>
  <c r="BD1" i="5"/>
  <c r="BC1" i="5"/>
  <c r="BB1" i="5"/>
  <c r="BA1" i="5"/>
  <c r="AZ1" i="5"/>
  <c r="AY1" i="5"/>
  <c r="AX1" i="5"/>
  <c r="AW1" i="5"/>
  <c r="AV1" i="5"/>
  <c r="AU1" i="5"/>
  <c r="AT1" i="5"/>
  <c r="AS1" i="5"/>
  <c r="AR1" i="5"/>
  <c r="AQ1" i="5"/>
  <c r="AP1" i="5"/>
  <c r="AO1" i="5"/>
  <c r="AN1" i="5"/>
  <c r="AM1" i="5"/>
  <c r="AL1" i="5"/>
  <c r="AK1" i="5"/>
  <c r="AJ1" i="5"/>
  <c r="AI1" i="5"/>
  <c r="AH1" i="5"/>
  <c r="AG1" i="5"/>
  <c r="AF1" i="5"/>
  <c r="AE1" i="5"/>
  <c r="AD1" i="5"/>
  <c r="AC1" i="5"/>
  <c r="AB1" i="5"/>
  <c r="AA1" i="5"/>
  <c r="Z1" i="5"/>
  <c r="Y1" i="5"/>
  <c r="X1" i="5"/>
  <c r="W1" i="5"/>
  <c r="V1" i="5"/>
  <c r="U1" i="5"/>
  <c r="T1" i="5"/>
  <c r="S1" i="5"/>
  <c r="R1" i="5"/>
  <c r="Q1" i="5"/>
  <c r="P1" i="5"/>
  <c r="O1" i="5"/>
  <c r="N1" i="5"/>
  <c r="M1" i="5"/>
  <c r="L1" i="5"/>
  <c r="K1" i="5"/>
  <c r="J1" i="5"/>
  <c r="I1" i="5"/>
  <c r="H1" i="5"/>
  <c r="G1" i="5"/>
  <c r="F1" i="5"/>
  <c r="E1" i="5"/>
  <c r="D1" i="5"/>
  <c r="C1" i="5"/>
  <c r="B1" i="5"/>
  <c r="A1" i="3"/>
  <c r="G59" i="3" l="1"/>
  <c r="H52" i="3" s="1"/>
  <c r="A5" i="5"/>
  <c r="H58" i="3" l="1"/>
  <c r="H57" i="3"/>
  <c r="D22" i="2" s="1"/>
  <c r="H56" i="3"/>
  <c r="D25" i="2" s="1"/>
  <c r="EC1" i="5" s="1"/>
  <c r="H55" i="3"/>
  <c r="D24" i="2" s="1"/>
  <c r="DU1" i="5" s="1"/>
  <c r="H54" i="3"/>
  <c r="D21" i="2" s="1"/>
  <c r="DM1" i="5" s="1"/>
  <c r="H53" i="3"/>
  <c r="D19" i="2"/>
  <c r="CW1" i="5" s="1"/>
  <c r="D23" i="2"/>
  <c r="H59" i="3" l="1"/>
  <c r="D20" i="2"/>
  <c r="DE1"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5" authorId="0" shapeId="0" xr:uid="{00000000-0006-0000-0100-000007000000}">
      <text>
        <r>
          <rPr>
            <sz val="10"/>
            <color rgb="FF000000"/>
            <rFont val="Arial"/>
            <family val="2"/>
          </rPr>
          <t xml:space="preserve">======
</t>
        </r>
        <r>
          <rPr>
            <sz val="10"/>
            <color rgb="FF000000"/>
            <rFont val="Arial"/>
            <family val="2"/>
          </rPr>
          <t xml:space="preserve">ID#AAABpW3Ic6A
</t>
        </r>
        <r>
          <rPr>
            <sz val="10"/>
            <color rgb="FF000000"/>
            <rFont val="Arial"/>
            <family val="2"/>
          </rPr>
          <t xml:space="preserve">FA    (2025-08-15 07:31:48)
</t>
        </r>
        <r>
          <rPr>
            <sz val="10"/>
            <color rgb="FF000000"/>
            <rFont val="Arial"/>
            <family val="2"/>
          </rPr>
          <t>Chỉ điền số, có thể ở dạng thập phân, không để trống</t>
        </r>
      </text>
    </comment>
    <comment ref="E8" authorId="0" shapeId="0" xr:uid="{00000000-0006-0000-0100-000008000000}">
      <text>
        <r>
          <rPr>
            <sz val="10"/>
            <color rgb="FF000000"/>
            <rFont val="Arial"/>
            <family val="2"/>
          </rPr>
          <t xml:space="preserve">======
</t>
        </r>
        <r>
          <rPr>
            <sz val="10"/>
            <color rgb="FF000000"/>
            <rFont val="Arial"/>
            <family val="2"/>
          </rPr>
          <t xml:space="preserve">ID#AAABpW3Ic54
</t>
        </r>
        <r>
          <rPr>
            <sz val="10"/>
            <color rgb="FF000000"/>
            <rFont val="Arial"/>
            <family val="2"/>
          </rPr>
          <t xml:space="preserve">FA    (2025-08-15 07:31:48)
</t>
        </r>
        <r>
          <rPr>
            <sz val="10"/>
            <color rgb="FF000000"/>
            <rFont val="Arial"/>
            <family val="2"/>
          </rPr>
          <t xml:space="preserve">- Mục tiêu môn học (Course Objectives) phụ thuộc vào Chuẩn đầu ra chương trình đào tạo (OST): tức là môn học này đáp ứng được những đầu ra nào trong mục tiêu của cả chương trình thì list ra tại đây.
</t>
        </r>
        <r>
          <rPr>
            <sz val="10"/>
            <color rgb="FF000000"/>
            <rFont val="Arial"/>
            <family val="2"/>
          </rPr>
          <t>- Điền vào tối đa 7 rows như template này</t>
        </r>
      </text>
    </comment>
    <comment ref="B19" authorId="0" shapeId="0" xr:uid="{00000000-0006-0000-0100-000001000000}">
      <text>
        <r>
          <rPr>
            <sz val="10"/>
            <color rgb="FF000000"/>
            <rFont val="Arial"/>
            <family val="2"/>
          </rPr>
          <t xml:space="preserve">======
</t>
        </r>
        <r>
          <rPr>
            <sz val="10"/>
            <color rgb="FF000000"/>
            <rFont val="Arial"/>
            <family val="2"/>
          </rPr>
          <t xml:space="preserve">ID#AAABpW3Ic6k
</t>
        </r>
        <r>
          <rPr>
            <sz val="10"/>
            <color rgb="FF000000"/>
            <rFont val="Arial"/>
            <family val="2"/>
          </rPr>
          <t xml:space="preserve">FA    (2025-08-15 07:31:48)
</t>
        </r>
        <r>
          <rPr>
            <sz val="10"/>
            <color rgb="FF000000"/>
            <rFont val="Arial"/>
            <family val="2"/>
          </rPr>
          <t>- Thông tin của mục này sẽ lấy tự động từ sheet ScheduleDetail</t>
        </r>
      </text>
    </comment>
    <comment ref="B29" authorId="0" shapeId="0" xr:uid="{00000000-0006-0000-0100-000009000000}">
      <text>
        <r>
          <rPr>
            <sz val="10"/>
            <color theme="1"/>
            <rFont val="Arial"/>
            <family val="2"/>
            <scheme val="minor"/>
          </rPr>
          <t>======
ID#AAABpW3Ic58
FAr    (2025-08-15 07:31:48)
Có thể để trống các mục bên (Quiz, Assignment, Final Theory/Practice Test) nếu ko có</t>
        </r>
      </text>
    </comment>
    <comment ref="D29" authorId="0" shapeId="0" xr:uid="{00000000-0006-0000-0100-000006000000}">
      <text>
        <r>
          <rPr>
            <sz val="10"/>
            <color theme="1"/>
            <rFont val="Arial"/>
            <family val="2"/>
            <scheme val="minor"/>
          </rPr>
          <t>======
ID#AAABpW3Ic6I
FA    (2025-08-15 07:31:48)
- Điền số bài Quiz, Assignment, Final Theory Test, Final Practice Test</t>
        </r>
      </text>
    </comment>
    <comment ref="E29" authorId="0" shapeId="0" xr:uid="{00000000-0006-0000-0100-000002000000}">
      <text>
        <r>
          <rPr>
            <sz val="10"/>
            <color theme="1"/>
            <rFont val="Arial"/>
            <family val="2"/>
            <scheme val="minor"/>
          </rPr>
          <t>======
ID#AAABpW3Ic6c
FA    (2025-08-15 07:31:48)
- Mục này điền trọng số tính điểm của Quiz, Assignment, Final Theory/Practice Test</t>
        </r>
      </text>
    </comment>
    <comment ref="C31" authorId="0" shapeId="0" xr:uid="{00000000-0006-0000-0100-00000A000000}">
      <text>
        <r>
          <rPr>
            <sz val="10"/>
            <color theme="1"/>
            <rFont val="Arial"/>
            <family val="2"/>
            <scheme val="minor"/>
          </rPr>
          <t>======
ID#AAABpW3Ic5w
FA    (2025-08-15 07:31:48)
- Passing Criteria: điểm hệ 10 để pass môn học</t>
        </r>
      </text>
    </comment>
    <comment ref="D35" authorId="0" shapeId="0" xr:uid="{00000000-0006-0000-0100-000003000000}">
      <text>
        <r>
          <rPr>
            <sz val="10"/>
            <color theme="1"/>
            <rFont val="Arial"/>
            <family val="2"/>
            <scheme val="minor"/>
          </rPr>
          <t>======
ID#AAABpW3Ic6U
FA    (2025-08-15 07:31:48)
Nhập số lần được re-test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200-000001000000}">
      <text>
        <r>
          <rPr>
            <sz val="10"/>
            <color rgb="FF000000"/>
            <rFont val="Arial"/>
            <family val="2"/>
          </rPr>
          <t xml:space="preserve">======
</t>
        </r>
        <r>
          <rPr>
            <sz val="10"/>
            <color rgb="FF000000"/>
            <rFont val="Arial"/>
            <family val="2"/>
          </rPr>
          <t xml:space="preserve">ID#AAABpW3Ic6g
</t>
        </r>
        <r>
          <rPr>
            <sz val="10"/>
            <color rgb="FF000000"/>
            <rFont val="Arial"/>
            <family val="2"/>
          </rPr>
          <t xml:space="preserve">FA    (2025-08-15 07:31:48)
</t>
        </r>
        <r>
          <rPr>
            <sz val="10"/>
            <color rgb="FF000000"/>
            <rFont val="Arial"/>
            <family val="2"/>
          </rPr>
          <t xml:space="preserve">- Điền giá trị số vào cột A, C
</t>
        </r>
        <r>
          <rPr>
            <sz val="10"/>
            <color rgb="FF000000"/>
            <rFont val="Arial"/>
            <family val="2"/>
          </rPr>
          <t>- Điền text vào cột B</t>
        </r>
      </text>
    </comment>
    <comment ref="F2" authorId="0" shapeId="0" xr:uid="{00000000-0006-0000-0200-000003000000}">
      <text>
        <r>
          <rPr>
            <sz val="10"/>
            <color rgb="FF000000"/>
            <rFont val="Arial"/>
            <family val="2"/>
          </rPr>
          <t xml:space="preserve">======
</t>
        </r>
        <r>
          <rPr>
            <sz val="10"/>
            <color rgb="FF000000"/>
            <rFont val="Arial"/>
            <family val="2"/>
          </rPr>
          <t xml:space="preserve">ID#AAABpW3Ic6E
</t>
        </r>
        <r>
          <rPr>
            <sz val="10"/>
            <color rgb="FF000000"/>
            <rFont val="Arial"/>
            <family val="2"/>
          </rPr>
          <t xml:space="preserve">FA    (2025-08-15 07:31:48)
</t>
        </r>
        <r>
          <rPr>
            <sz val="10"/>
            <color rgb="FF000000"/>
            <rFont val="Arial"/>
            <family val="2"/>
          </rPr>
          <t xml:space="preserve">Delivery type nhận các giá trị: 
</t>
        </r>
        <r>
          <rPr>
            <sz val="10"/>
            <color rgb="FF000000"/>
            <rFont val="Arial"/>
            <family val="2"/>
          </rPr>
          <t xml:space="preserve">- Class Meeting
</t>
        </r>
        <r>
          <rPr>
            <sz val="10"/>
            <color rgb="FF000000"/>
            <rFont val="Arial"/>
            <family val="2"/>
          </rPr>
          <t xml:space="preserve">- Assignment/Lab
</t>
        </r>
        <r>
          <rPr>
            <sz val="10"/>
            <color rgb="FF000000"/>
            <rFont val="Arial"/>
            <family val="2"/>
          </rPr>
          <t xml:space="preserve">- Concept/Meeting 
</t>
        </r>
        <r>
          <rPr>
            <sz val="10"/>
            <color rgb="FF000000"/>
            <rFont val="Arial"/>
            <family val="2"/>
          </rPr>
          <t xml:space="preserve">- Exam
</t>
        </r>
        <r>
          <rPr>
            <sz val="10"/>
            <color rgb="FF000000"/>
            <rFont val="Arial"/>
            <family val="2"/>
          </rPr>
          <t xml:space="preserve">- Guides/Review
</t>
        </r>
        <r>
          <rPr>
            <sz val="10"/>
            <color rgb="FF000000"/>
            <rFont val="Arial"/>
            <family val="2"/>
          </rPr>
          <t xml:space="preserve">- Seminar/Workshop
</t>
        </r>
        <r>
          <rPr>
            <sz val="10"/>
            <color rgb="FF000000"/>
            <rFont val="Arial"/>
            <family val="2"/>
          </rPr>
          <t>- Test/Quiz</t>
        </r>
      </text>
    </comment>
    <comment ref="G2" authorId="0" shapeId="0" xr:uid="{00000000-0006-0000-0200-000004000000}">
      <text>
        <r>
          <rPr>
            <sz val="10"/>
            <color rgb="FF000000"/>
            <rFont val="Arial"/>
            <family val="2"/>
          </rPr>
          <t xml:space="preserve">======
</t>
        </r>
        <r>
          <rPr>
            <sz val="10"/>
            <color rgb="FF000000"/>
            <rFont val="Arial"/>
            <family val="2"/>
          </rPr>
          <t xml:space="preserve">ID#AAABpW3Ic50
</t>
        </r>
        <r>
          <rPr>
            <sz val="10"/>
            <color rgb="FF000000"/>
            <rFont val="Arial"/>
            <family val="2"/>
          </rPr>
          <t xml:space="preserve">FA    (2025-08-15 07:31:48)
</t>
        </r>
        <r>
          <rPr>
            <sz val="10"/>
            <color rgb="FF000000"/>
            <rFont val="Arial"/>
            <family val="2"/>
          </rPr>
          <t>Chỉ điền số, không để trống, giá trị tính theo phút (minutes)</t>
        </r>
      </text>
    </comment>
    <comment ref="H2" authorId="0" shapeId="0" xr:uid="{00000000-0006-0000-0200-000002000000}">
      <text>
        <r>
          <rPr>
            <sz val="10"/>
            <color rgb="FF000000"/>
            <rFont val="Arial"/>
            <family val="2"/>
          </rPr>
          <t xml:space="preserve">======
</t>
        </r>
        <r>
          <rPr>
            <sz val="10"/>
            <color rgb="FF000000"/>
            <rFont val="Arial"/>
            <family val="2"/>
          </rPr>
          <t xml:space="preserve">ID#AAABpW3Ic6M
</t>
        </r>
        <r>
          <rPr>
            <sz val="10"/>
            <color rgb="FF000000"/>
            <rFont val="Arial"/>
            <family val="2"/>
          </rPr>
          <t xml:space="preserve">FA    (2025-08-15 07:31:48)
</t>
        </r>
        <r>
          <rPr>
            <sz val="10"/>
            <color rgb="FF000000"/>
            <rFont val="Arial"/>
            <family val="2"/>
          </rPr>
          <t xml:space="preserve">Training Format nhận các giá trị:  
</t>
        </r>
        <r>
          <rPr>
            <sz val="10"/>
            <color rgb="FF000000"/>
            <rFont val="Arial"/>
            <family val="2"/>
          </rPr>
          <t xml:space="preserve">- Online
</t>
        </r>
        <r>
          <rPr>
            <sz val="10"/>
            <color rgb="FF000000"/>
            <rFont val="Arial"/>
            <family val="2"/>
          </rPr>
          <t xml:space="preserve">- Offline
</t>
        </r>
        <r>
          <rPr>
            <sz val="10"/>
            <color rgb="FF000000"/>
            <rFont val="Arial"/>
            <family val="2"/>
          </rPr>
          <t xml:space="preserve">- Blended
</t>
        </r>
        <r>
          <rPr>
            <sz val="10"/>
            <color rgb="FF000000"/>
            <rFont val="Arial"/>
            <family val="2"/>
          </rPr>
          <t xml:space="preserve">- Virtual training
</t>
        </r>
        <r>
          <rPr>
            <sz val="10"/>
            <color rgb="FF000000"/>
            <rFont val="Arial"/>
            <family val="2"/>
          </rPr>
          <t>- Hybrid</t>
        </r>
      </text>
    </comment>
  </commentList>
</comments>
</file>

<file path=xl/sharedStrings.xml><?xml version="1.0" encoding="utf-8"?>
<sst xmlns="http://schemas.openxmlformats.org/spreadsheetml/2006/main" count="506" uniqueCount="282">
  <si>
    <t>Fresher Full-Stack Development</t>
  </si>
  <si>
    <t>PYTHON PROGRAMMING SYLLABUS</t>
  </si>
  <si>
    <t>Document Code</t>
  </si>
  <si>
    <t>26e-BM/HR/HDCV/FSOFT</t>
  </si>
  <si>
    <t>Version</t>
  </si>
  <si>
    <t>2.0</t>
  </si>
  <si>
    <t>Effective Date</t>
  </si>
  <si>
    <t>24/04/2020</t>
  </si>
  <si>
    <t>Technical Group</t>
  </si>
  <si>
    <t>AI</t>
  </si>
  <si>
    <t>Topic Name</t>
  </si>
  <si>
    <t>Azure AI Fundamentals</t>
  </si>
  <si>
    <t>Topic Code</t>
  </si>
  <si>
    <t>AI-900</t>
  </si>
  <si>
    <t>Training Audience</t>
  </si>
  <si>
    <t>- AI beginners (no programming experience required)
- IT Professionals transitioning to AI field
- Business Analysts, Product Managers who need to understand AI
- Developers, Data Scientists seeking foundational certification
- Anyone wanting to understand AI and prepare for AI-900 certification</t>
  </si>
  <si>
    <t>Course Objectives</t>
  </si>
  <si>
    <t>Provide foundational knowledge of Artificial Intelligence (AI) and Azure AI services, preparing students for the Microsoft Certified: Azure AI Fundamentals (AI-900) certification exam.</t>
  </si>
  <si>
    <t>Name</t>
  </si>
  <si>
    <t>Code</t>
  </si>
  <si>
    <t>Description</t>
  </si>
  <si>
    <t>Understand fundamental AI concepts</t>
  </si>
  <si>
    <t>K1AI</t>
  </si>
  <si>
    <t>Demonstrate the ability to explain core Artificial Intelligence concepts, key terminologies, major application areas, and the role of AI in digital transformation initiatives.</t>
  </si>
  <si>
    <t>Understand fundamental Machine Learning concepts</t>
  </si>
  <si>
    <t>K2AI</t>
  </si>
  <si>
    <t>Demonstrate the ability to explain essential Machine Learning paradigms, learning workflows, data requirements, and commonly used evaluation metrics.</t>
  </si>
  <si>
    <t>Understand Azure AI services and capabilities</t>
  </si>
  <si>
    <t>K3AI</t>
  </si>
  <si>
    <t>Identify and describe core Azure AI services, their primary functions, and typical enterprise use cases.</t>
  </si>
  <si>
    <t>Select appropriate Machine Learning approaches</t>
  </si>
  <si>
    <t>H1AI</t>
  </si>
  <si>
    <t>Analyze problem statements and select suitable Machine Learning models aligned with business and technical requirements.</t>
  </si>
  <si>
    <t>Select appropriate Azure AI services</t>
  </si>
  <si>
    <t>H2AI</t>
  </si>
  <si>
    <t>Evaluate AI scenarios and recommend appropriate Azure AI services to design effective and scalable solutions.</t>
  </si>
  <si>
    <t>Make informed AI solution decisions</t>
  </si>
  <si>
    <t>H3AI</t>
  </si>
  <si>
    <t>Assess real-world situations and justify the selection of Azure AI services based on constraints, risks, and expected outcomes.</t>
  </si>
  <si>
    <t>Apply Responsible AI principles</t>
  </si>
  <si>
    <t>H4AI</t>
  </si>
  <si>
    <t>Integrate Responsible AI principles (fairness, reliability, security, privacy, transparency, accountability) into the design and deployment of AI solutions.</t>
  </si>
  <si>
    <t>Achieve AI-900 certification readiness</t>
  </si>
  <si>
    <t>H5AI</t>
  </si>
  <si>
    <t>Demonstrate readiness to sit for and successfully obtain the Microsoft Azure AI Fundamentals (AI-900) certification.</t>
  </si>
  <si>
    <r>
      <t xml:space="preserve">In details, after completing the course, trainees will:
</t>
    </r>
    <r>
      <rPr>
        <b/>
        <i/>
        <sz val="10"/>
        <color rgb="FF000000"/>
        <rFont val="Arial"/>
        <family val="2"/>
      </rPr>
      <t>1. Fundamental AI Concepts &amp; Azure AI Overview</t>
    </r>
    <r>
      <rPr>
        <i/>
        <sz val="10"/>
        <color rgb="FF000000"/>
        <rFont val="Arial"/>
        <family val="2"/>
      </rPr>
      <t xml:space="preserve">
- Define and distinguish AI, Machine Learning, Deep Learning
- Understand AI workload types: Computer Vision, NLP, Conversational AI, Generative AI
- Master Microsoft's 6 Responsible AI principles
- Identify real-world AI applications in enterprise
- Distinguish Azure AI Services categories and use cases
- Choose appropriate services for scenarios
- Deploy and manage AI services on Azure
</t>
    </r>
    <r>
      <rPr>
        <b/>
        <i/>
        <sz val="10"/>
        <color rgb="FF000000"/>
        <rFont val="Arial"/>
        <family val="2"/>
      </rPr>
      <t>2. Machine Learning Fundamentals</t>
    </r>
    <r>
      <rPr>
        <i/>
        <sz val="10"/>
        <color rgb="FF000000"/>
        <rFont val="Arial"/>
        <family val="2"/>
      </rPr>
      <t xml:space="preserve">
- Distinguish Supervised, Unsupervised, and Reinforcement Learning
- Understand ML lifecycle: Data → Training → Evaluation → Deployment
- Apply model evaluation metrics: Accuracy, Precision, Recall, F1, RMSE, R²
- Identify and address overfitting, underfitting
</t>
    </r>
    <r>
      <rPr>
        <b/>
        <i/>
        <sz val="10"/>
        <color rgb="FF000000"/>
        <rFont val="Arial"/>
        <family val="2"/>
      </rPr>
      <t>3. Computer Vision, NLP, Generative AI Workloads</t>
    </r>
    <r>
      <rPr>
        <i/>
        <sz val="10"/>
        <color rgb="FF000000"/>
        <rFont val="Arial"/>
        <family val="2"/>
      </rPr>
      <t xml:space="preserve">
- Define and distinguish Computer Vision, NLP workloads
- Choose appropriate solutions for real-world problems
- Implement Computer Vision tasks using Azure Vision Services
- Implement NLP tasks using Azure Language Services
</t>
    </r>
    <r>
      <rPr>
        <b/>
        <i/>
        <sz val="10"/>
        <color rgb="FF000000"/>
        <rFont val="Arial"/>
        <family val="2"/>
      </rPr>
      <t>4. Responsible AI Principles</t>
    </r>
    <r>
      <rPr>
        <i/>
        <sz val="10"/>
        <color rgb="FF000000"/>
        <rFont val="Arial"/>
        <family val="2"/>
      </rPr>
      <t xml:space="preserve">
- Understand importance of Responsible AI
- Apply Microsoft's 6 Responsible AI principles in projects
- Use Azure tools for fairness, interpretability, transparency
- Identify and mitigate bias in AI models
- Ensure privacy, security, and accountability in AI solutions
</t>
    </r>
    <r>
      <rPr>
        <b/>
        <i/>
        <sz val="10"/>
        <color rgb="FF000000"/>
        <rFont val="Arial"/>
        <family val="2"/>
      </rPr>
      <t>5. Certification Readiness</t>
    </r>
    <r>
      <rPr>
        <i/>
        <sz val="10"/>
        <color rgb="FF000000"/>
        <rFont val="Arial"/>
        <family val="2"/>
      </rPr>
      <t xml:space="preserve">
- Master 100% of AI-900 exam content
- Familiarize with exam question formats
- Confidently achieve score ≥700/1000 (passing score)</t>
    </r>
  </si>
  <si>
    <t>Topic Outline</t>
  </si>
  <si>
    <t>1. Introduction to AI
2. Azure AI Fundamentals
3. Machine Learning Fundamentals
4. Azure Machine Learning Fundamentals
5. Natural Language Processing
6. Computer Vision
7. Generative AI
8. Responsible AI</t>
  </si>
  <si>
    <t>Time Allocation</t>
  </si>
  <si>
    <t>Concept/Lecture</t>
  </si>
  <si>
    <t>Concepts, theory</t>
  </si>
  <si>
    <t>8 sessions</t>
  </si>
  <si>
    <t>Assignment/Lab</t>
  </si>
  <si>
    <t>Assignment, Lab</t>
  </si>
  <si>
    <t>Guides/Review</t>
  </si>
  <si>
    <t>Quiz, assignment review
Assignment guides</t>
  </si>
  <si>
    <t>Seminar/Workshop</t>
  </si>
  <si>
    <t>Seminar, Workshop</t>
  </si>
  <si>
    <t>Class Meeting</t>
  </si>
  <si>
    <t>Daily class meeting</t>
  </si>
  <si>
    <t>Audit</t>
  </si>
  <si>
    <t>Final quiz</t>
  </si>
  <si>
    <t>Review mock final</t>
  </si>
  <si>
    <t xml:space="preserve">Review Mock Project </t>
  </si>
  <si>
    <t>Training Materials &amp; Environments</t>
  </si>
  <si>
    <t>Text book</t>
  </si>
  <si>
    <t>1. Speech and Language Processing.pdf
2. Foundations of Statistical Natural Language Processing.pdf
3. Pattern Recognition and Machine Learning.pdf
4. Neural Network Methods in Natural Language Processing.pdf
5. Practical Natural Language Processing.pdf
6. AI_RMF_Playbook.pdf
7. Chip_Huyen_Designing_Machine_Learning_Systems_An_Iterative_Process.pdf
8. Dive into Deep Learning.pdf
9. Machine Learning Yearning-VN.pdf
10. Natural Language Processing with Python.pdf
11. Neural-Networks-Overview-365-Data-Science-Course Notes.pdf
12. storytelling-with-data-cole-nussbaumer-knaflic.pdf</t>
  </si>
  <si>
    <t>References</t>
  </si>
  <si>
    <t xml:space="preserve">- Microsoft Learn: https://learn.microsoft.com/training/paths/get-started-with-artificial-intelligence-on-azure/
- Azure Portal: https://portal.azure.com
- Practice Assessment for Exam AI-900: Microsoft Azure AI Fundamentals: https://learn.microsoft.com/en-us/credentials/certifications/azure-ai-fundamentals/practice/assessment?assessment-type=practice&amp;assessmentId=26&amp;practice-assessment-type=certification
- Linkedin (theory): https://www.linkedin.com/learning/microsoft-azure-ai-fundamentals-ai-900-cert-prep-by-microsoft-press?u=441943138
- Linkedin (Practice Assessment): https://www.linkedin.com/learning/practice-exam-1-for-azure-ai-fundamentals-ai-900?u=441943138
- Linkedin (Practice Assessment): https://www.linkedin.com/learning/practice-exam-2-for-azure-ai-fundamentals-ai-900?u=441943138
</t>
  </si>
  <si>
    <t>Technical requirements</t>
  </si>
  <si>
    <t>N/A</t>
  </si>
  <si>
    <t>Assessment Scheme</t>
  </si>
  <si>
    <t>Mini Test</t>
  </si>
  <si>
    <t>Assignments</t>
  </si>
  <si>
    <t>Online practice assessment from Microsoft.</t>
  </si>
  <si>
    <t>Pass Criteria</t>
  </si>
  <si>
    <t>Training Delivery Principles</t>
  </si>
  <si>
    <t>Trainees</t>
  </si>
  <si>
    <t>TBD</t>
  </si>
  <si>
    <t>Trainer</t>
  </si>
  <si>
    <t>Trainer has strong knowledge of AI and Azure and holds the Azure AI Fundamentals certification.</t>
  </si>
  <si>
    <t>Training</t>
  </si>
  <si>
    <t>- Trainee do self-learning and do practice
- Trainee be required to complete online learning according to MOOC links provided
- Trainer supports answering questions, guiding exercises and review</t>
  </si>
  <si>
    <t>Re-Test</t>
  </si>
  <si>
    <t>Marking</t>
  </si>
  <si>
    <t>Waiver Criteria</t>
  </si>
  <si>
    <t>Students pass the audit 
Trainer Audit: rank B</t>
  </si>
  <si>
    <t>Others</t>
  </si>
  <si>
    <t>Training Unit/Chapter</t>
  </si>
  <si>
    <t>Sessions</t>
  </si>
  <si>
    <t>Content</t>
  </si>
  <si>
    <t>Learning Objectives</t>
  </si>
  <si>
    <t>Delivery Type</t>
  </si>
  <si>
    <t>Duration (mins)</t>
  </si>
  <si>
    <t>Training Format</t>
  </si>
  <si>
    <t>Training Materials / Logistics &amp; General Notes
(Required, For Reference, etc.)</t>
  </si>
  <si>
    <t xml:space="preserve">Workshop #0: Course Introduction
</t>
  </si>
  <si>
    <t>- Introduction to the course content
- Introduction to learning materials and resources
- Guidance on learning methods and study approach
- Overview of the learning roadmap
- Overview of the AI-900 certification exam</t>
  </si>
  <si>
    <t>Virtual training</t>
  </si>
  <si>
    <t>Slide: 0_Course_Introduction</t>
  </si>
  <si>
    <t>Overview of AI concepts</t>
  </si>
  <si>
    <t>Online</t>
  </si>
  <si>
    <t>https://learn.microsoft.com/en-us/training/modules/get-started-ai-fundamentals/</t>
  </si>
  <si>
    <t xml:space="preserve">Workshop #1: Introduction to AI
</t>
  </si>
  <si>
    <t>- Define Artificial Intelligence (AI) and its importance
- Distinguish between AI, Machine Learning (ML), and Deep Learning (DL)
- Identify common AI workloads and real-world use cases
- Recognize the impact and potential of AI in business and society</t>
  </si>
  <si>
    <t>Slide: 1_Introduction_to_AI</t>
  </si>
  <si>
    <t>Sefl-study: Introduction to AI</t>
  </si>
  <si>
    <t>Offline</t>
  </si>
  <si>
    <t>1. Tài liệu chính thức từ Microsoft:
- Microsoft Learn: https://learn.microsoft.com/training/paths/get-started-with-artificial-intelligence-on-azure/
- Azure Portal dùng để thực hành (cần chờ tài khoản từ IT cấp, hoặc tự tạo tài khoản cá nhân, sử dụng tài khoản sinh viên nếu có): https://portal.azure.com
- Link bài Practice Assessment for Exam AI-900: Microsoft Azure AI Fundamentals: https://learn.microsoft.com/en-us/credentials/certifications/azure-ai-fundamentals/practice/assessment?assessment-type=practice&amp;assessmentId=26&amp;practice-assessment-type=certification
2. Link khóa học online:
- Linkedin (lý thuyết): https://www.linkedin.com/learning/microsoft-azure-ai-fundamentals-ai-900-cert-prep-by-microsoft-press?u=441943138
- Linkedin (thi thử): https://www.linkedin.com/learning/practice-exam-1-for-azure-ai-fundamentals-ai-900?u=441943138
- Linkedin (thi thử): https://www.linkedin.com/learning/practice-exam-2-for-azure-ai-fundamentals-ai-900?u=441943138
- Youtube: search với từ khóa "AI-900"
3. Tài liệu nội bộ khóa học: https://fptsoftware362-my.sharepoint.com/:f:/r/personal/thaott29_fpt_com/Documents/Kh%C3%B3a%20h%E1%BB%8Dc%20Azure%20AI%20Fundamentals%20(AI-900)/T%C3%A0i%20li%E1%BB%87u%20kh%C3%B3a%20h%E1%BB%8Dc?csf=1&amp;web=1&amp;e=fPhsta
- Slides: Bản HTML (trong các buổi workshop) và bản PDF (xuất từ HTML)
- Text books: eBook về các chủ đề có liên quan, dành cho bạn nào muốn tìm hiểu sâu cho từng vấn đề cụ thể
- Notebooks: File tóm tắt sau mỗi workshop
- Dumps: Bộ câu hỏi luyện tập tương tự đề thi thật</t>
  </si>
  <si>
    <t>Get started with AI in Microsoft Foundry</t>
  </si>
  <si>
    <t>https://learn.microsoft.com/en-gb/training/modules/get-started-ai-in-foundry/</t>
  </si>
  <si>
    <t>Lab: Get started with AI in Microsoft Foundry</t>
  </si>
  <si>
    <t>Workshop #2: Azure AI Fundamentals</t>
  </si>
  <si>
    <t>- Identify and describe the main Azure AI services and their use cases
- Understand how to choose the right AI service for different business scenarios</t>
  </si>
  <si>
    <t>Slide: 2_Azure_AI_Fundamentals</t>
  </si>
  <si>
    <t>Sefl-study: Azure AI Fundamentals</t>
  </si>
  <si>
    <t>Introduction to machine learning concepts</t>
  </si>
  <si>
    <t>https://learn.microsoft.com/en-gb/training/modules/fundamentals-machine-learning/</t>
  </si>
  <si>
    <t>Workshop #3: Machine Learning Fundamentals</t>
  </si>
  <si>
    <t>- Define what Machine Learning is and why it matters
- Differentiate supervised, unsupervised, and other learning types
- Identify common machine learning problem types and real-world examples
- Explain the machine learning lifecycle and best practices
 - See how these ML concepts fit into the overall Azure AI Fundamentals (AI-900) exam scope</t>
  </si>
  <si>
    <t>Slide: 3_Machine_Learning_Fundamentals</t>
  </si>
  <si>
    <t>Self-study: Machine Learning</t>
  </si>
  <si>
    <t>H2AI, H3AI</t>
  </si>
  <si>
    <t>Get started with machine learning in Azure</t>
  </si>
  <si>
    <t>https://learn.microsoft.com/en-gb/training/modules/design-machine-learning-model-training-solution/</t>
  </si>
  <si>
    <t>Workshop #4: Azure Machine Learning</t>
  </si>
  <si>
    <t>- Explain what Azure Machine Learning is and its main use cases
- Describe key features and benefits of the service
- Recognize when to use custom ML vs prebuilt AI
- Understand how Azure ML supports responsible, secure, and collaborative ML</t>
  </si>
  <si>
    <t>Slide: 4_Azure_Machine_Learning_Fundamentals</t>
  </si>
  <si>
    <t>Self-study: Azure Machine Learning</t>
  </si>
  <si>
    <t>Lab: Azure Machine Learning</t>
  </si>
  <si>
    <t>Introduction to text analysis concepts</t>
  </si>
  <si>
    <t>https://learn.microsoft.com/en-gb/training/modules/introduction-language/</t>
  </si>
  <si>
    <t>Get started with natural language processing in Microsoft Foundry</t>
  </si>
  <si>
    <t>https://learn.microsoft.com/en-gb/training/modules/get-started-language-azure/</t>
  </si>
  <si>
    <t>Introduction to AI speech concepts</t>
  </si>
  <si>
    <t>https://learn.microsoft.com/en-gb/training/modules/introduction-ai-speech/</t>
  </si>
  <si>
    <t>Get started with speech in Microsoft Foundry</t>
  </si>
  <si>
    <t>https://learn.microsoft.com/en-gb/training/modules/recognize-synthesize-speech/</t>
  </si>
  <si>
    <t>Lab: Natural Language Processing</t>
  </si>
  <si>
    <t>Workshop #5: Natural Language Processing</t>
  </si>
  <si>
    <t>- Understand core NLP concepts and their importance
- Identify common language and speech workloads
- Recognize Azure AI services for Language and Speech
- Distinguish when to use prebuilt AI services vs custom ML
- Understand real-world use cases and responsible AI considerations for NLP</t>
  </si>
  <si>
    <t>Slide: 5_Natural_Language_Processing</t>
  </si>
  <si>
    <t>Self-study: Natual Language Processing</t>
  </si>
  <si>
    <t>Lab: Speech processing</t>
  </si>
  <si>
    <t>Introduction to computer vision concepts</t>
  </si>
  <si>
    <t>https://learn.microsoft.com/en-gb/training/modules/introduction-computer-vision/</t>
  </si>
  <si>
    <t>Get started with computer vision in Microsoft Foundry</t>
  </si>
  <si>
    <t>https://learn.microsoft.com/en-gb/training/modules/get-started-computer-vision-azure/</t>
  </si>
  <si>
    <t>Lab: Computer Vision in Microsoft Foundry</t>
  </si>
  <si>
    <t>Introduction to AI-powered information extraction concepts</t>
  </si>
  <si>
    <t>https://learn.microsoft.com/en-gb/training/modules/introduction-information-extraction/</t>
  </si>
  <si>
    <t>Get started with AI-powered information extraction in Microsoft Foundry</t>
  </si>
  <si>
    <t>https://learn.microsoft.com/en-gb/training/modules/ai-information-extraction/</t>
  </si>
  <si>
    <t>Lab: AI-powered information extraction in Microsoft Foundry</t>
  </si>
  <si>
    <t>Workshop #6: Computer Vision</t>
  </si>
  <si>
    <t>- Understand core Computer Vision concepts and their importance
- Identify common vision workloads and tasks
- Recognize Azure AI services for Vision
- Distinguish when to use prebuilt AI services vs custom ML
- Understand real-world use cases and responsible AI considerations for vision</t>
  </si>
  <si>
    <t>Slide: 6_Computer_Vision</t>
  </si>
  <si>
    <t>Self-study: Computer Vision</t>
  </si>
  <si>
    <t>Introduction to generative AI and agents</t>
  </si>
  <si>
    <t>https://learn.microsoft.com/en-gb/training/modules/fundamentals-generative-ai/</t>
  </si>
  <si>
    <t>Get started with generative AI in Microsoft Foundry</t>
  </si>
  <si>
    <t>https://learn.microsoft.com/en-gb/training/modules/get-started-generative-ai-azure/</t>
  </si>
  <si>
    <t>Lab: Get started with generative AI in Microsoft Foundry</t>
  </si>
  <si>
    <t>Workshop #7: Generative AI</t>
  </si>
  <si>
    <t>- Understand the concept of Generative AI and its impact
- Identify common Generative AI use cases
- Recognize Azure OpenAI Service capabilities
- Understand responsible AI and limitations of generative models
- Apply best practices for using generative AI in business</t>
  </si>
  <si>
    <t>Slide: 7_Generative_AI</t>
  </si>
  <si>
    <t>Self-study: Generative AI</t>
  </si>
  <si>
    <t>Explore responsible AI</t>
  </si>
  <si>
    <t>https://learn.microsoft.com/en-gb/training/modules/responsible-ai/</t>
  </si>
  <si>
    <t>Workshop #8: Responsible AI</t>
  </si>
  <si>
    <t>- Understand the concept and importance of Responsible AI
- Describe Microsoft’s Responsible AI principles
- Recognize real-world examples for each principle
- Apply Responsible AI practices in AI projects
- Identify Azure tools and resources for implementing Responsible AI</t>
  </si>
  <si>
    <t>Slide: 8_Responsible_AI</t>
  </si>
  <si>
    <t>Self-study: Responsible AI</t>
  </si>
  <si>
    <t>Final Assessment</t>
  </si>
  <si>
    <t>Final Mock</t>
  </si>
  <si>
    <t>https://learn.microsoft.com/en-us/credentials/certifications/azure-ai-fundamentals/practice/assessment?assessment-type=practice&amp;assessmentId=26&amp;practice-assessment-type=certification</t>
  </si>
  <si>
    <t>Final Audit</t>
  </si>
  <si>
    <t>Total</t>
  </si>
  <si>
    <t>AUTHORSHIP</t>
  </si>
  <si>
    <t>Role</t>
  </si>
  <si>
    <t>Account</t>
  </si>
  <si>
    <t>Unit</t>
  </si>
  <si>
    <t>Notes</t>
  </si>
  <si>
    <t>Creator</t>
  </si>
  <si>
    <t>Trinh Ba Tu</t>
  </si>
  <si>
    <t>TuTB</t>
  </si>
  <si>
    <t>FSA.NLS</t>
  </si>
  <si>
    <t>Reviewer</t>
  </si>
  <si>
    <t>Approver</t>
  </si>
  <si>
    <t>RECORD OF CHANGES</t>
  </si>
  <si>
    <t>*A - Added M - Modified D - Deleted</t>
  </si>
  <si>
    <t>Date</t>
  </si>
  <si>
    <t>Changes</t>
  </si>
  <si>
    <t>A*
M, D</t>
  </si>
  <si>
    <t>Contents</t>
  </si>
  <si>
    <t>Create</t>
  </si>
  <si>
    <t>A*</t>
  </si>
  <si>
    <t>New Syllabus</t>
  </si>
  <si>
    <t>Update</t>
  </si>
  <si>
    <t>M</t>
  </si>
  <si>
    <t>CongDX update format workshop and Practice</t>
  </si>
  <si>
    <t>Cost estimate</t>
  </si>
  <si>
    <t>Service</t>
  </si>
  <si>
    <t>Typical Usage per Month</t>
  </si>
  <si>
    <t>Reference Price (USD)</t>
  </si>
  <si>
    <t>Estimated Monthly Cost per Student</t>
  </si>
  <si>
    <t>Rationale / Estimation Basis</t>
  </si>
  <si>
    <t>Azure Machine Learning – Compute Cluster (Automated ML)</t>
  </si>
  <si>
    <t>Small cluster, ~1–2 hours</t>
  </si>
  <si>
    <t>~$0.15 – $0.20 / hour</t>
  </si>
  <si>
    <t>Automatically provisioned during Automated ML experiments</t>
  </si>
  <si>
    <t>Azure App Service (B1)</t>
  </si>
  <si>
    <t>1 app, ~20 hours</t>
  </si>
  <si>
    <t>~$0.075/hour</t>
  </si>
  <si>
    <t>Used to host demo web/API calling Azure AI services; only active during lab hours</t>
  </si>
  <si>
    <t>Azure Storage (Blob – Hot)</t>
  </si>
  <si>
    <t>~10 GB</t>
  </si>
  <si>
    <t>~$0.0184/GB/month</t>
  </si>
  <si>
    <t>Stores datasets, images, and outputs for custom model training and inference</t>
  </si>
  <si>
    <t>Azure AI Language (Prebuilt – F0)</t>
  </si>
  <si>
    <t>Sentiment, NER demo</t>
  </si>
  <si>
    <t>Free tier</t>
  </si>
  <si>
    <t>Used for AI-900 NLP prebuilt labs; free tier sufficient</t>
  </si>
  <si>
    <t>Azure AI Vision (Prebuilt – F0)</t>
  </si>
  <si>
    <t>Image analysis demo</t>
  </si>
  <si>
    <t>Demonstrates image analysis and OCR basics</t>
  </si>
  <si>
    <t>Azure AI Speech (F0)</t>
  </si>
  <si>
    <t>Speech-to-text demo</t>
  </si>
  <si>
    <t>Demonstrates speech recognition with limited usage</t>
  </si>
  <si>
    <t>Azure AI Document Intelligence (F0)</t>
  </si>
  <si>
    <t>Read / Layout demo</t>
  </si>
  <si>
    <t>Demonstrates document text extraction</t>
  </si>
  <si>
    <t>Azure AI Language – Custom (S0)</t>
  </si>
  <si>
    <t>1 project, 1–2 training jobs</t>
  </si>
  <si>
    <t>~$1 / 1k records (est.)</t>
  </si>
  <si>
    <t>Required for training custom text classification or NER models; not supported in F0</t>
  </si>
  <si>
    <t>Azure AI Vision – Custom Vision (S0)</t>
  </si>
  <si>
    <t>~$2 / training hour</t>
  </si>
  <si>
    <t>Used to train a custom image recognition model with small datasets</t>
  </si>
  <si>
    <t>Azure Functions (Consumption)</t>
  </si>
  <si>
    <t>&lt;=10k executions</t>
  </si>
  <si>
    <t>Free grant</t>
  </si>
  <si>
    <t>Used as lightweight middleware or API glue</t>
  </si>
  <si>
    <t>Azure Monitor / Log Analytics</t>
  </si>
  <si>
    <t>~150 MB logs</t>
  </si>
  <si>
    <t>~$2.76/GB</t>
  </si>
  <si>
    <t>Used for monitoring and debugging during labs</t>
  </si>
  <si>
    <t>Azure Application Insights</t>
  </si>
  <si>
    <t>Basic telemetry</t>
  </si>
  <si>
    <t>Included</t>
  </si>
  <si>
    <t>Tracks application performance and requests</t>
  </si>
  <si>
    <t>Azure Virtual Network</t>
  </si>
  <si>
    <t>1 VNet, subnet</t>
  </si>
  <si>
    <t>Free</t>
  </si>
  <si>
    <t>Demonstrates basic Azure networking concepts</t>
  </si>
  <si>
    <t>Azure Key Vault</t>
  </si>
  <si>
    <t>Secrets, keys</t>
  </si>
  <si>
    <t>~$0.03 / 10k ops</t>
  </si>
  <si>
    <t>Stores API keys and secrets following best practices</t>
  </si>
  <si>
    <t>Microsoft Entra ID (Azure AD)</t>
  </si>
  <si>
    <t>User &amp; role management</t>
  </si>
  <si>
    <t>Used for identity and role-based access control</t>
  </si>
  <si>
    <t>Buffer</t>
  </si>
  <si>
    <t>Number of student:</t>
  </si>
  <si>
    <t xml:space="preserve">Number of trainer: </t>
  </si>
  <si>
    <t>Total estimate:</t>
  </si>
  <si>
    <t>Important Notes</t>
  </si>
  <si>
    <t>a</t>
  </si>
  <si>
    <t>This cost estimate is calculated on a per-student basis.</t>
  </si>
  <si>
    <t>For each training class, Azure service provisioning must be requested for one instructor and the exact number of participating students to ensure accurate cost planning and resource allocation.</t>
  </si>
  <si>
    <t>b</t>
  </si>
  <si>
    <t>Instructors must guide and regularly remind students to stop or delete Azure resources when they are not in use.</t>
  </si>
  <si>
    <t>Leaving services running continuously (24/7) may lead to unnecessary and unexpected costs.</t>
  </si>
  <si>
    <t>c</t>
  </si>
  <si>
    <t>A spending cap should be configured for each student subscription, with an upper limit of $10.</t>
  </si>
  <si>
    <t>This ensures that individual costs remain within an acceptable and controlled range during hands-on practice.</t>
  </si>
  <si>
    <t>d</t>
  </si>
  <si>
    <t>This cost estimation is based on pricing available as of January 2026.</t>
  </si>
  <si>
    <t>In case the cloud service provider updates or adjusts pricing, the estimate should be reviewed and updated accordingly.</t>
  </si>
  <si>
    <t>AAAAAH/rVCM=</t>
  </si>
  <si>
    <t>AAAAAH/rVCQ=</t>
  </si>
  <si>
    <t>AAAAAH/rVCU=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</si>
</sst>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yy"/>
    <numFmt numFmtId="165" formatCode="0.0"/>
    <numFmt numFmtId="166" formatCode="[$$-409]#,##0.00"/>
  </numFmts>
  <fonts count="29">
    <font>
      <sz val="10"/>
      <color theme="1"/>
      <name val="Arial"/>
      <scheme val="minor"/>
    </font>
    <font>
      <sz val="10"/>
      <color theme="1"/>
      <name val="Arial"/>
      <family val="2"/>
    </font>
    <font>
      <sz val="11"/>
      <color theme="1"/>
      <name val="Calibri"/>
      <family val="2"/>
    </font>
    <font>
      <b/>
      <i/>
      <sz val="14"/>
      <color rgb="FF800000"/>
      <name val="Arial"/>
      <family val="2"/>
    </font>
    <font>
      <sz val="10"/>
      <name val="Arial"/>
      <family val="2"/>
    </font>
    <font>
      <sz val="11"/>
      <color theme="1"/>
      <name val="Arial"/>
      <family val="2"/>
    </font>
    <font>
      <i/>
      <sz val="14"/>
      <color rgb="FF800000"/>
      <name val="Arial"/>
      <family val="2"/>
    </font>
    <font>
      <b/>
      <sz val="20"/>
      <color rgb="FF800000"/>
      <name val="Arial"/>
      <family val="2"/>
    </font>
    <font>
      <b/>
      <sz val="10"/>
      <color rgb="FF800000"/>
      <name val="Arial"/>
      <family val="2"/>
    </font>
    <font>
      <b/>
      <sz val="10"/>
      <color theme="1"/>
      <name val="Arial"/>
      <family val="2"/>
    </font>
    <font>
      <b/>
      <i/>
      <sz val="18"/>
      <color theme="1"/>
      <name val="Arial"/>
      <family val="2"/>
    </font>
    <font>
      <i/>
      <sz val="10"/>
      <color theme="1"/>
      <name val="Arial"/>
      <family val="2"/>
    </font>
    <font>
      <b/>
      <i/>
      <sz val="10"/>
      <color theme="1"/>
      <name val="Arial"/>
      <family val="2"/>
    </font>
    <font>
      <sz val="10"/>
      <color rgb="FF000000"/>
      <name val="Arial"/>
      <family val="2"/>
    </font>
    <font>
      <b/>
      <sz val="10"/>
      <color rgb="FF000000"/>
      <name val="Arial"/>
      <family val="2"/>
    </font>
    <font>
      <sz val="10"/>
      <color rgb="FF0C0C0C"/>
      <name val="Arial"/>
      <family val="2"/>
    </font>
    <font>
      <i/>
      <sz val="10"/>
      <color rgb="FF0C0C0C"/>
      <name val="Arial"/>
      <family val="2"/>
    </font>
    <font>
      <i/>
      <sz val="10"/>
      <color rgb="FF000000"/>
      <name val="Arial"/>
      <family val="2"/>
    </font>
    <font>
      <u/>
      <sz val="10"/>
      <color theme="10"/>
      <name val="Arial"/>
      <family val="2"/>
      <scheme val="minor"/>
    </font>
    <font>
      <sz val="10"/>
      <color theme="1"/>
      <name val="Arial"/>
      <family val="2"/>
      <scheme val="minor"/>
    </font>
    <font>
      <b/>
      <i/>
      <sz val="10"/>
      <color rgb="FF000000"/>
      <name val="Arial"/>
      <family val="2"/>
    </font>
    <font>
      <b/>
      <sz val="18"/>
      <color theme="1"/>
      <name val="Arial"/>
      <family val="2"/>
      <scheme val="minor"/>
    </font>
    <font>
      <sz val="10"/>
      <name val="Arial"/>
      <family val="2"/>
      <scheme val="minor"/>
    </font>
    <font>
      <b/>
      <sz val="10"/>
      <color theme="1"/>
      <name val="Arial"/>
      <family val="2"/>
      <scheme val="minor"/>
    </font>
    <font>
      <b/>
      <sz val="10"/>
      <name val="Arial"/>
      <family val="2"/>
      <scheme val="minor"/>
    </font>
    <font>
      <sz val="10"/>
      <color rgb="FF000000"/>
      <name val="Arial"/>
      <family val="2"/>
      <scheme val="minor"/>
    </font>
    <font>
      <b/>
      <sz val="10"/>
      <color rgb="FF000000"/>
      <name val="Arial"/>
      <family val="2"/>
      <scheme val="minor"/>
    </font>
    <font>
      <b/>
      <sz val="10"/>
      <color rgb="FFFFFFFF"/>
      <name val="Arial"/>
      <family val="2"/>
      <scheme val="minor"/>
    </font>
    <font>
      <b/>
      <i/>
      <sz val="10"/>
      <color rgb="FF000000"/>
      <name val="Arial"/>
      <family val="2"/>
      <scheme val="minor"/>
    </font>
  </fonts>
  <fills count="10">
    <fill>
      <patternFill patternType="none"/>
    </fill>
    <fill>
      <patternFill patternType="gray125"/>
    </fill>
    <fill>
      <patternFill patternType="solid">
        <fgColor rgb="FFFFFFFF"/>
        <bgColor rgb="FFFFFFFF"/>
      </patternFill>
    </fill>
    <fill>
      <patternFill patternType="solid">
        <fgColor rgb="FFC0C0C0"/>
        <bgColor rgb="FFC0C0C0"/>
      </patternFill>
    </fill>
    <fill>
      <patternFill patternType="solid">
        <fgColor rgb="FFCCFFCC"/>
        <bgColor rgb="FFCCFFCC"/>
      </patternFill>
    </fill>
    <fill>
      <patternFill patternType="solid">
        <fgColor rgb="FFFFFF00"/>
        <bgColor indexed="64"/>
      </patternFill>
    </fill>
    <fill>
      <patternFill patternType="solid">
        <fgColor rgb="FF16365C"/>
        <bgColor rgb="FF000000"/>
      </patternFill>
    </fill>
    <fill>
      <patternFill patternType="solid">
        <fgColor rgb="FFDDD9C4"/>
        <bgColor rgb="FF000000"/>
      </patternFill>
    </fill>
    <fill>
      <patternFill patternType="solid">
        <fgColor theme="4" tint="0.59999389629810485"/>
        <bgColor indexed="64"/>
      </patternFill>
    </fill>
    <fill>
      <patternFill patternType="solid">
        <fgColor theme="9" tint="0.59999389629810485"/>
        <bgColor indexed="64"/>
      </patternFill>
    </fill>
  </fills>
  <borders count="47">
    <border>
      <left/>
      <right/>
      <top/>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style="thin">
        <color rgb="FF000000"/>
      </left>
      <right style="hair">
        <color rgb="FF000000"/>
      </right>
      <top/>
      <bottom/>
      <diagonal/>
    </border>
    <border>
      <left style="hair">
        <color rgb="FF000000"/>
      </left>
      <right style="hair">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style="hair">
        <color rgb="FF000000"/>
      </top>
      <bottom/>
      <diagonal/>
    </border>
    <border>
      <left style="hair">
        <color rgb="FF000000"/>
      </left>
      <right style="thin">
        <color rgb="FF000000"/>
      </right>
      <top/>
      <bottom/>
      <diagonal/>
    </border>
    <border>
      <left/>
      <right style="hair">
        <color rgb="FF000000"/>
      </right>
      <top style="hair">
        <color rgb="FF000000"/>
      </top>
      <bottom style="hair">
        <color rgb="FF000000"/>
      </bottom>
      <diagonal/>
    </border>
    <border>
      <left style="hair">
        <color rgb="FF000000"/>
      </left>
      <right style="thin">
        <color rgb="FF000000"/>
      </right>
      <top/>
      <bottom style="hair">
        <color rgb="FF000000"/>
      </bottom>
      <diagonal/>
    </border>
    <border>
      <left style="hair">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hair">
        <color rgb="FF000000"/>
      </right>
      <top/>
      <bottom style="thin">
        <color rgb="FF000000"/>
      </bottom>
      <diagonal/>
    </border>
    <border>
      <left style="hair">
        <color rgb="FF000000"/>
      </left>
      <right style="hair">
        <color rgb="FF000000"/>
      </right>
      <top/>
      <bottom style="thin">
        <color rgb="FF000000"/>
      </bottom>
      <diagonal/>
    </border>
    <border>
      <left style="hair">
        <color rgb="FF000000"/>
      </left>
      <right style="hair">
        <color rgb="FF000000"/>
      </right>
      <top style="hair">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right/>
      <top style="thin">
        <color rgb="FF000000"/>
      </top>
      <bottom style="thin">
        <color rgb="FF000000"/>
      </bottom>
      <diagonal/>
    </border>
    <border>
      <left/>
      <right style="thin">
        <color rgb="FF000000"/>
      </right>
      <top/>
      <bottom style="thin">
        <color rgb="FF000000"/>
      </bottom>
      <diagonal/>
    </border>
    <border>
      <left/>
      <right/>
      <top/>
      <bottom/>
      <diagonal/>
    </border>
    <border>
      <left/>
      <right/>
      <top/>
      <bottom style="thin">
        <color rgb="FF000000"/>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right style="thin">
        <color rgb="FF000000"/>
      </right>
      <top style="hair">
        <color rgb="FF000000"/>
      </top>
      <bottom/>
      <diagonal/>
    </border>
    <border>
      <left style="hair">
        <color rgb="FF000000"/>
      </left>
      <right/>
      <top/>
      <bottom/>
      <diagonal/>
    </border>
    <border>
      <left style="hair">
        <color rgb="FF000000"/>
      </left>
      <right/>
      <top style="hair">
        <color rgb="FF000000"/>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8" fillId="0" borderId="0" applyNumberFormat="0" applyFill="0" applyBorder="0" applyAlignment="0" applyProtection="0"/>
  </cellStyleXfs>
  <cellXfs count="151">
    <xf numFmtId="0" fontId="0" fillId="0" borderId="0" xfId="0"/>
    <xf numFmtId="0" fontId="1" fillId="0" borderId="0" xfId="0" applyFont="1"/>
    <xf numFmtId="0" fontId="9" fillId="4" borderId="1" xfId="0" applyFont="1" applyFill="1" applyBorder="1" applyAlignment="1">
      <alignment horizontal="center" vertical="center"/>
    </xf>
    <xf numFmtId="0" fontId="9" fillId="4" borderId="2" xfId="0" applyFont="1" applyFill="1" applyBorder="1" applyAlignment="1">
      <alignment vertical="center" wrapText="1"/>
    </xf>
    <xf numFmtId="0" fontId="9" fillId="4" borderId="6" xfId="0" applyFont="1" applyFill="1" applyBorder="1" applyAlignment="1">
      <alignment horizontal="center" vertical="center"/>
    </xf>
    <xf numFmtId="0" fontId="9" fillId="4" borderId="7" xfId="0" applyFont="1" applyFill="1" applyBorder="1" applyAlignment="1">
      <alignment vertical="center" wrapText="1"/>
    </xf>
    <xf numFmtId="0" fontId="12" fillId="4" borderId="7" xfId="0" applyFont="1" applyFill="1" applyBorder="1" applyAlignment="1">
      <alignment horizontal="left" vertical="center" wrapText="1"/>
    </xf>
    <xf numFmtId="0" fontId="12" fillId="4" borderId="7" xfId="0" applyFont="1" applyFill="1" applyBorder="1" applyAlignment="1">
      <alignment vertical="center" wrapText="1"/>
    </xf>
    <xf numFmtId="9" fontId="1" fillId="4" borderId="7" xfId="0" applyNumberFormat="1" applyFont="1" applyFill="1" applyBorder="1" applyAlignment="1">
      <alignment horizontal="center" vertical="center"/>
    </xf>
    <xf numFmtId="0" fontId="11" fillId="2" borderId="7" xfId="0" applyFont="1" applyFill="1" applyBorder="1" applyAlignment="1">
      <alignment vertical="top" wrapText="1"/>
    </xf>
    <xf numFmtId="0" fontId="12" fillId="4" borderId="7" xfId="0" applyFont="1" applyFill="1" applyBorder="1" applyAlignment="1">
      <alignment horizontal="left" vertical="center"/>
    </xf>
    <xf numFmtId="9" fontId="1" fillId="4" borderId="20" xfId="0" applyNumberFormat="1" applyFont="1" applyFill="1" applyBorder="1" applyAlignment="1">
      <alignment horizontal="center" vertical="center"/>
    </xf>
    <xf numFmtId="0" fontId="1" fillId="2" borderId="7" xfId="0" applyFont="1" applyFill="1" applyBorder="1" applyAlignment="1">
      <alignment vertical="top" wrapText="1"/>
    </xf>
    <xf numFmtId="0" fontId="11" fillId="2" borderId="7" xfId="0" applyFont="1" applyFill="1" applyBorder="1" applyAlignment="1">
      <alignment horizontal="center" vertical="center"/>
    </xf>
    <xf numFmtId="9" fontId="11" fillId="2" borderId="7" xfId="0" applyNumberFormat="1" applyFont="1" applyFill="1" applyBorder="1" applyAlignment="1">
      <alignment horizontal="center" vertical="center"/>
    </xf>
    <xf numFmtId="0" fontId="1" fillId="2" borderId="7" xfId="0" applyFont="1" applyFill="1" applyBorder="1" applyAlignment="1">
      <alignment vertical="center"/>
    </xf>
    <xf numFmtId="0" fontId="1" fillId="2" borderId="7" xfId="0" applyFont="1" applyFill="1" applyBorder="1" applyAlignment="1">
      <alignment vertical="center" wrapText="1"/>
    </xf>
    <xf numFmtId="0" fontId="12" fillId="4" borderId="7" xfId="0" applyFont="1" applyFill="1" applyBorder="1" applyAlignment="1">
      <alignment horizontal="left" vertical="top" wrapText="1"/>
    </xf>
    <xf numFmtId="0" fontId="12" fillId="4" borderId="27" xfId="0" applyFont="1" applyFill="1" applyBorder="1" applyAlignment="1">
      <alignment vertical="center" wrapText="1"/>
    </xf>
    <xf numFmtId="0" fontId="9" fillId="4" borderId="7" xfId="0" applyFont="1" applyFill="1" applyBorder="1" applyAlignment="1">
      <alignment horizontal="center" vertical="center" wrapText="1"/>
    </xf>
    <xf numFmtId="15" fontId="14" fillId="4" borderId="7" xfId="0" applyNumberFormat="1" applyFont="1" applyFill="1" applyBorder="1" applyAlignment="1">
      <alignment vertical="top" wrapText="1"/>
    </xf>
    <xf numFmtId="0" fontId="1" fillId="2" borderId="7" xfId="0" applyFont="1" applyFill="1" applyBorder="1" applyAlignment="1">
      <alignment horizontal="center" vertical="center" wrapText="1"/>
    </xf>
    <xf numFmtId="0" fontId="14" fillId="4" borderId="7" xfId="0" applyFont="1" applyFill="1" applyBorder="1" applyAlignment="1">
      <alignment vertical="top" wrapText="1"/>
    </xf>
    <xf numFmtId="15" fontId="13" fillId="2" borderId="7" xfId="0"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7" xfId="0" applyFont="1" applyFill="1" applyBorder="1" applyAlignment="1">
      <alignment horizontal="left" vertical="top" wrapText="1"/>
    </xf>
    <xf numFmtId="165" fontId="13" fillId="2" borderId="7" xfId="0" applyNumberFormat="1" applyFont="1" applyFill="1" applyBorder="1" applyAlignment="1">
      <alignment horizontal="center" vertical="center" wrapText="1"/>
    </xf>
    <xf numFmtId="0" fontId="2" fillId="0" borderId="0" xfId="0" applyFont="1"/>
    <xf numFmtId="9" fontId="13" fillId="0" borderId="0" xfId="0" applyNumberFormat="1" applyFont="1"/>
    <xf numFmtId="0" fontId="5" fillId="2" borderId="33" xfId="0" applyFont="1" applyFill="1" applyBorder="1"/>
    <xf numFmtId="0" fontId="5" fillId="2" borderId="36" xfId="0" applyFont="1" applyFill="1" applyBorder="1"/>
    <xf numFmtId="0" fontId="6" fillId="2" borderId="36" xfId="0" applyFont="1" applyFill="1" applyBorder="1" applyAlignment="1">
      <alignment horizontal="center"/>
    </xf>
    <xf numFmtId="0" fontId="5" fillId="2" borderId="38" xfId="0" applyFont="1" applyFill="1" applyBorder="1"/>
    <xf numFmtId="0" fontId="13" fillId="4" borderId="36" xfId="0" applyFont="1" applyFill="1" applyBorder="1"/>
    <xf numFmtId="0" fontId="12" fillId="4" borderId="11" xfId="0" applyFont="1" applyFill="1" applyBorder="1" applyAlignment="1">
      <alignment horizontal="left" vertical="center" wrapText="1"/>
    </xf>
    <xf numFmtId="0" fontId="12" fillId="4" borderId="12" xfId="0" applyFont="1" applyFill="1" applyBorder="1" applyAlignment="1">
      <alignment horizontal="left" vertical="center" wrapText="1"/>
    </xf>
    <xf numFmtId="0" fontId="18" fillId="0" borderId="46" xfId="1" applyBorder="1" applyAlignment="1">
      <alignment horizontal="left" vertical="top" wrapText="1"/>
    </xf>
    <xf numFmtId="0" fontId="19" fillId="0" borderId="0" xfId="0" applyFont="1" applyAlignment="1">
      <alignment horizontal="left"/>
    </xf>
    <xf numFmtId="0" fontId="19" fillId="0" borderId="0" xfId="0" applyFont="1"/>
    <xf numFmtId="0" fontId="19" fillId="2" borderId="46" xfId="0" applyFont="1" applyFill="1" applyBorder="1" applyAlignment="1">
      <alignment horizontal="center" vertical="center"/>
    </xf>
    <xf numFmtId="0" fontId="19" fillId="0" borderId="46" xfId="0" applyFont="1" applyBorder="1" applyAlignment="1">
      <alignment horizontal="center" vertical="center" wrapText="1"/>
    </xf>
    <xf numFmtId="2" fontId="19" fillId="2" borderId="46" xfId="0" applyNumberFormat="1" applyFont="1" applyFill="1" applyBorder="1" applyAlignment="1">
      <alignment vertical="center"/>
    </xf>
    <xf numFmtId="0" fontId="19" fillId="4" borderId="36" xfId="0" applyFont="1" applyFill="1" applyBorder="1" applyAlignment="1">
      <alignment vertical="center"/>
    </xf>
    <xf numFmtId="0" fontId="19" fillId="4" borderId="36" xfId="0" applyFont="1" applyFill="1" applyBorder="1" applyAlignment="1">
      <alignment horizontal="left" vertical="center"/>
    </xf>
    <xf numFmtId="0" fontId="19" fillId="4" borderId="36" xfId="0" applyFont="1" applyFill="1" applyBorder="1" applyAlignment="1">
      <alignment horizontal="left" vertical="top" wrapText="1"/>
    </xf>
    <xf numFmtId="0" fontId="19" fillId="4" borderId="36" xfId="0" applyFont="1" applyFill="1" applyBorder="1" applyAlignment="1">
      <alignment horizontal="center"/>
    </xf>
    <xf numFmtId="0" fontId="19" fillId="4" borderId="36" xfId="0" applyFont="1" applyFill="1" applyBorder="1" applyAlignment="1">
      <alignment horizontal="left"/>
    </xf>
    <xf numFmtId="2" fontId="19" fillId="4" borderId="15" xfId="0" applyNumberFormat="1" applyFont="1" applyFill="1" applyBorder="1" applyAlignment="1">
      <alignment vertical="center"/>
    </xf>
    <xf numFmtId="9" fontId="19" fillId="4" borderId="15" xfId="0" applyNumberFormat="1" applyFont="1" applyFill="1" applyBorder="1" applyAlignment="1">
      <alignment vertical="center"/>
    </xf>
    <xf numFmtId="0" fontId="19" fillId="0" borderId="0" xfId="0" applyFont="1" applyAlignment="1">
      <alignment vertical="center"/>
    </xf>
    <xf numFmtId="0" fontId="19" fillId="0" borderId="0" xfId="0" applyFont="1" applyAlignment="1">
      <alignment horizontal="left" vertical="top" wrapText="1"/>
    </xf>
    <xf numFmtId="0" fontId="22" fillId="0" borderId="46" xfId="0" applyFont="1" applyBorder="1" applyAlignment="1">
      <alignment vertical="center"/>
    </xf>
    <xf numFmtId="0" fontId="19" fillId="2" borderId="46" xfId="0" applyFont="1" applyFill="1" applyBorder="1" applyAlignment="1">
      <alignment vertical="center" wrapText="1"/>
    </xf>
    <xf numFmtId="0" fontId="19" fillId="4" borderId="15" xfId="0" applyFont="1" applyFill="1" applyBorder="1" applyAlignment="1">
      <alignment horizontal="left"/>
    </xf>
    <xf numFmtId="165" fontId="19" fillId="4" borderId="15" xfId="0" applyNumberFormat="1" applyFont="1" applyFill="1" applyBorder="1" applyAlignment="1">
      <alignment vertical="center"/>
    </xf>
    <xf numFmtId="0" fontId="0" fillId="0" borderId="46" xfId="0" applyBorder="1" applyAlignment="1">
      <alignment wrapText="1"/>
    </xf>
    <xf numFmtId="0" fontId="25" fillId="2" borderId="46" xfId="0" quotePrefix="1" applyFont="1" applyFill="1" applyBorder="1" applyAlignment="1">
      <alignment horizontal="left" vertical="top" wrapText="1"/>
    </xf>
    <xf numFmtId="0" fontId="0" fillId="0" borderId="46" xfId="0" applyBorder="1" applyAlignment="1">
      <alignment horizontal="center" vertical="center" wrapText="1"/>
    </xf>
    <xf numFmtId="0" fontId="26" fillId="0" borderId="36" xfId="0" applyFont="1" applyBorder="1" applyAlignment="1">
      <alignment horizontal="center"/>
    </xf>
    <xf numFmtId="0" fontId="26" fillId="0" borderId="36" xfId="0" applyFont="1" applyBorder="1"/>
    <xf numFmtId="0" fontId="25" fillId="0" borderId="36" xfId="0" applyFont="1" applyBorder="1" applyAlignment="1">
      <alignment horizontal="center"/>
    </xf>
    <xf numFmtId="0" fontId="25" fillId="0" borderId="36" xfId="0" applyFont="1" applyBorder="1"/>
    <xf numFmtId="0" fontId="27" fillId="6" borderId="46" xfId="0" applyFont="1" applyFill="1" applyBorder="1" applyAlignment="1">
      <alignment vertical="center"/>
    </xf>
    <xf numFmtId="0" fontId="28" fillId="0" borderId="36" xfId="0" applyFont="1" applyBorder="1"/>
    <xf numFmtId="0" fontId="0" fillId="0" borderId="46" xfId="0" applyBorder="1"/>
    <xf numFmtId="0" fontId="28" fillId="0" borderId="36" xfId="0" applyFont="1" applyBorder="1" applyAlignment="1">
      <alignment horizontal="center"/>
    </xf>
    <xf numFmtId="166" fontId="0" fillId="0" borderId="46" xfId="0" applyNumberFormat="1" applyBorder="1"/>
    <xf numFmtId="0" fontId="25" fillId="7" borderId="46" xfId="0" applyFont="1" applyFill="1" applyBorder="1" applyAlignment="1">
      <alignment vertical="center"/>
    </xf>
    <xf numFmtId="166" fontId="26" fillId="7" borderId="46" xfId="0" applyNumberFormat="1" applyFont="1" applyFill="1" applyBorder="1" applyAlignment="1">
      <alignment vertical="center"/>
    </xf>
    <xf numFmtId="0" fontId="23" fillId="0" borderId="0" xfId="0" applyFont="1"/>
    <xf numFmtId="0" fontId="23" fillId="4" borderId="46" xfId="0" applyFont="1" applyFill="1" applyBorder="1" applyAlignment="1">
      <alignment vertical="center"/>
    </xf>
    <xf numFmtId="0" fontId="23" fillId="4" borderId="46" xfId="0" applyFont="1" applyFill="1" applyBorder="1" applyAlignment="1">
      <alignment horizontal="center" vertical="center" wrapText="1"/>
    </xf>
    <xf numFmtId="0" fontId="23" fillId="4" borderId="46" xfId="0" applyFont="1" applyFill="1" applyBorder="1" applyAlignment="1">
      <alignment horizontal="left" vertical="center" wrapText="1"/>
    </xf>
    <xf numFmtId="0" fontId="23" fillId="4" borderId="46" xfId="0" applyFont="1" applyFill="1" applyBorder="1" applyAlignment="1">
      <alignment vertical="center" wrapText="1"/>
    </xf>
    <xf numFmtId="0" fontId="25" fillId="2" borderId="46" xfId="0" applyFont="1" applyFill="1" applyBorder="1" applyAlignment="1">
      <alignment horizontal="left" vertical="center" wrapText="1"/>
    </xf>
    <xf numFmtId="0" fontId="19" fillId="0" borderId="46" xfId="0" applyFont="1" applyBorder="1" applyAlignment="1">
      <alignment horizontal="left" vertical="top" wrapText="1"/>
    </xf>
    <xf numFmtId="0" fontId="19" fillId="0" borderId="46" xfId="0" applyFont="1" applyBorder="1" applyAlignment="1">
      <alignment horizontal="left" vertical="center"/>
    </xf>
    <xf numFmtId="0" fontId="19" fillId="0" borderId="46" xfId="0" applyFont="1" applyBorder="1"/>
    <xf numFmtId="0" fontId="0" fillId="8" borderId="46" xfId="0" applyFill="1" applyBorder="1"/>
    <xf numFmtId="0" fontId="25" fillId="8" borderId="46" xfId="0" applyFont="1" applyFill="1" applyBorder="1"/>
    <xf numFmtId="0" fontId="26" fillId="9" borderId="46" xfId="0" applyFont="1" applyFill="1" applyBorder="1"/>
    <xf numFmtId="166" fontId="26" fillId="9" borderId="46" xfId="0" applyNumberFormat="1" applyFont="1" applyFill="1" applyBorder="1"/>
    <xf numFmtId="0" fontId="23" fillId="8" borderId="46" xfId="0" applyFont="1" applyFill="1" applyBorder="1"/>
    <xf numFmtId="0" fontId="26" fillId="8" borderId="46" xfId="0" applyFont="1" applyFill="1" applyBorder="1"/>
    <xf numFmtId="0" fontId="8" fillId="3" borderId="32" xfId="0" applyFont="1" applyFill="1" applyBorder="1" applyAlignment="1">
      <alignment horizontal="left" vertical="center"/>
    </xf>
    <xf numFmtId="164" fontId="9" fillId="3" borderId="39" xfId="0" applyNumberFormat="1" applyFont="1" applyFill="1" applyBorder="1" applyAlignment="1">
      <alignment horizontal="center" vertical="center"/>
    </xf>
    <xf numFmtId="0" fontId="3" fillId="2" borderId="33" xfId="0" applyFont="1" applyFill="1" applyBorder="1" applyAlignment="1">
      <alignment horizontal="center"/>
    </xf>
    <xf numFmtId="0" fontId="7" fillId="2" borderId="33" xfId="0" applyFont="1" applyFill="1" applyBorder="1" applyAlignment="1">
      <alignment horizontal="center"/>
    </xf>
    <xf numFmtId="0" fontId="8" fillId="3" borderId="37" xfId="0" applyFont="1" applyFill="1" applyBorder="1" applyAlignment="1">
      <alignment horizontal="left" vertical="center"/>
    </xf>
    <xf numFmtId="0" fontId="9" fillId="3" borderId="30" xfId="0" applyFont="1" applyFill="1" applyBorder="1" applyAlignment="1">
      <alignment horizontal="center" vertical="center"/>
    </xf>
    <xf numFmtId="0" fontId="8" fillId="3" borderId="34" xfId="0" applyFont="1" applyFill="1" applyBorder="1" applyAlignment="1">
      <alignment horizontal="left" vertical="center"/>
    </xf>
    <xf numFmtId="49" fontId="9" fillId="3" borderId="29" xfId="0" applyNumberFormat="1" applyFont="1" applyFill="1" applyBorder="1" applyAlignment="1">
      <alignment horizontal="center" vertical="center"/>
    </xf>
    <xf numFmtId="0" fontId="13" fillId="2" borderId="8" xfId="0" applyFont="1" applyFill="1" applyBorder="1" applyAlignment="1">
      <alignment vertical="top" wrapText="1"/>
    </xf>
    <xf numFmtId="0" fontId="9" fillId="4" borderId="11" xfId="0" applyFont="1" applyFill="1" applyBorder="1" applyAlignment="1">
      <alignment horizontal="center" vertical="center"/>
    </xf>
    <xf numFmtId="0" fontId="1" fillId="4" borderId="12" xfId="0" applyFont="1" applyFill="1" applyBorder="1" applyAlignment="1">
      <alignment horizontal="center" vertical="center" wrapText="1"/>
    </xf>
    <xf numFmtId="0" fontId="14" fillId="2" borderId="40" xfId="0" applyFont="1" applyFill="1" applyBorder="1" applyAlignment="1">
      <alignment vertical="top" wrapText="1"/>
    </xf>
    <xf numFmtId="0" fontId="13" fillId="2" borderId="8" xfId="0" quotePrefix="1" applyFont="1" applyFill="1" applyBorder="1" applyAlignment="1">
      <alignment horizontal="left" vertical="top" wrapText="1"/>
    </xf>
    <xf numFmtId="0" fontId="9" fillId="4" borderId="12" xfId="0" applyFont="1" applyFill="1" applyBorder="1" applyAlignment="1">
      <alignment vertical="center" wrapText="1"/>
    </xf>
    <xf numFmtId="0" fontId="11" fillId="2" borderId="18" xfId="0" applyFont="1" applyFill="1" applyBorder="1" applyAlignment="1">
      <alignment horizontal="center" vertical="center" wrapText="1"/>
    </xf>
    <xf numFmtId="0" fontId="0" fillId="0" borderId="46" xfId="0" applyBorder="1" applyAlignment="1">
      <alignment horizontal="left" vertical="top" wrapText="1"/>
    </xf>
    <xf numFmtId="0" fontId="15" fillId="2" borderId="8" xfId="0" quotePrefix="1" applyFont="1" applyFill="1" applyBorder="1" applyAlignment="1">
      <alignment horizontal="left" vertical="top" wrapText="1"/>
    </xf>
    <xf numFmtId="0" fontId="11" fillId="2" borderId="8" xfId="0" applyFont="1" applyFill="1" applyBorder="1" applyAlignment="1">
      <alignment horizontal="left" vertical="top" wrapText="1"/>
    </xf>
    <xf numFmtId="0" fontId="1" fillId="2" borderId="8" xfId="0" applyFont="1" applyFill="1" applyBorder="1" applyAlignment="1">
      <alignment vertical="center" wrapText="1"/>
    </xf>
    <xf numFmtId="0" fontId="15" fillId="2" borderId="22" xfId="0" applyFont="1" applyFill="1" applyBorder="1" applyAlignment="1">
      <alignment vertical="center" wrapText="1"/>
    </xf>
    <xf numFmtId="0" fontId="11" fillId="2" borderId="8" xfId="0" applyFont="1" applyFill="1" applyBorder="1" applyAlignment="1">
      <alignment horizontal="left" vertical="center" wrapText="1"/>
    </xf>
    <xf numFmtId="0" fontId="9" fillId="4" borderId="12" xfId="0" applyFont="1" applyFill="1" applyBorder="1" applyAlignment="1">
      <alignment horizontal="left" vertical="center" wrapText="1"/>
    </xf>
    <xf numFmtId="0" fontId="16" fillId="2" borderId="22" xfId="0" applyFont="1" applyFill="1" applyBorder="1" applyAlignment="1">
      <alignment vertical="center" wrapText="1"/>
    </xf>
    <xf numFmtId="0" fontId="15" fillId="0" borderId="8" xfId="0" applyFont="1" applyBorder="1" applyAlignment="1">
      <alignment horizontal="left" vertical="center" wrapText="1"/>
    </xf>
    <xf numFmtId="0" fontId="1" fillId="2" borderId="8" xfId="0" applyFont="1" applyFill="1" applyBorder="1" applyAlignment="1">
      <alignment horizontal="left" vertical="center" wrapText="1"/>
    </xf>
    <xf numFmtId="0" fontId="19" fillId="0" borderId="36" xfId="0" quotePrefix="1" applyFont="1" applyBorder="1" applyAlignment="1">
      <alignment wrapText="1"/>
    </xf>
    <xf numFmtId="0" fontId="1" fillId="2" borderId="8" xfId="0" quotePrefix="1" applyFont="1" applyFill="1" applyBorder="1" applyAlignment="1">
      <alignment vertical="center" wrapText="1"/>
    </xf>
    <xf numFmtId="0" fontId="11" fillId="2" borderId="8" xfId="0" applyFont="1" applyFill="1" applyBorder="1" applyAlignment="1">
      <alignment vertical="top" wrapText="1"/>
    </xf>
    <xf numFmtId="0" fontId="12" fillId="4" borderId="45" xfId="0" applyFont="1" applyFill="1" applyBorder="1" applyAlignment="1">
      <alignment horizontal="left" vertical="center" wrapText="1"/>
    </xf>
    <xf numFmtId="0" fontId="10" fillId="4" borderId="36" xfId="0" applyFont="1" applyFill="1" applyBorder="1" applyAlignment="1">
      <alignment horizontal="center" vertical="center"/>
    </xf>
    <xf numFmtId="0" fontId="11" fillId="2" borderId="3" xfId="0" applyFont="1" applyFill="1" applyBorder="1" applyAlignment="1">
      <alignment vertical="center" wrapText="1"/>
    </xf>
    <xf numFmtId="0" fontId="11" fillId="2" borderId="8" xfId="0" applyFont="1" applyFill="1" applyBorder="1" applyAlignment="1">
      <alignment vertical="center" wrapText="1"/>
    </xf>
    <xf numFmtId="0" fontId="11" fillId="5" borderId="8" xfId="0" applyFont="1" applyFill="1" applyBorder="1" applyAlignment="1">
      <alignment vertical="center" wrapText="1"/>
    </xf>
    <xf numFmtId="165" fontId="11" fillId="2" borderId="8" xfId="0" applyNumberFormat="1" applyFont="1" applyFill="1" applyBorder="1" applyAlignment="1">
      <alignment horizontal="left" vertical="center"/>
    </xf>
    <xf numFmtId="0" fontId="21" fillId="4" borderId="46" xfId="0" applyFont="1" applyFill="1" applyBorder="1" applyAlignment="1">
      <alignment horizontal="center" vertical="center"/>
    </xf>
    <xf numFmtId="0" fontId="23" fillId="4" borderId="46" xfId="0" applyFont="1" applyFill="1" applyBorder="1" applyAlignment="1">
      <alignment horizontal="center" vertical="center"/>
    </xf>
    <xf numFmtId="0" fontId="14" fillId="4" borderId="36" xfId="0" applyFont="1" applyFill="1" applyBorder="1" applyAlignment="1">
      <alignment horizontal="left" vertical="center"/>
    </xf>
    <xf numFmtId="0" fontId="4" fillId="0" borderId="36" xfId="0" applyFont="1" applyBorder="1" applyAlignment="1"/>
    <xf numFmtId="0" fontId="4" fillId="0" borderId="38" xfId="0" applyFont="1" applyBorder="1" applyAlignment="1"/>
    <xf numFmtId="0" fontId="4" fillId="0" borderId="37" xfId="0" applyFont="1" applyBorder="1" applyAlignment="1"/>
    <xf numFmtId="0" fontId="4" fillId="0" borderId="35" xfId="0" applyFont="1" applyBorder="1" applyAlignment="1"/>
    <xf numFmtId="0" fontId="4" fillId="0" borderId="34" xfId="0" applyFont="1" applyBorder="1" applyAlignment="1"/>
    <xf numFmtId="0" fontId="4" fillId="0" borderId="28" xfId="0" applyFont="1" applyBorder="1" applyAlignment="1"/>
    <xf numFmtId="0" fontId="4" fillId="0" borderId="32" xfId="0" applyFont="1" applyBorder="1" applyAlignment="1"/>
    <xf numFmtId="0" fontId="4" fillId="0" borderId="31" xfId="0" applyFont="1" applyBorder="1" applyAlignment="1"/>
    <xf numFmtId="0" fontId="4" fillId="0" borderId="4" xfId="0" applyFont="1" applyBorder="1" applyAlignment="1"/>
    <xf numFmtId="0" fontId="4" fillId="0" borderId="5" xfId="0" applyFont="1" applyBorder="1" applyAlignment="1"/>
    <xf numFmtId="0" fontId="4" fillId="0" borderId="9" xfId="0" applyFont="1" applyBorder="1" applyAlignment="1"/>
    <xf numFmtId="0" fontId="4" fillId="0" borderId="10" xfId="0" applyFont="1" applyBorder="1" applyAlignment="1"/>
    <xf numFmtId="0" fontId="4" fillId="5" borderId="9" xfId="0" applyFont="1" applyFill="1" applyBorder="1" applyAlignment="1"/>
    <xf numFmtId="0" fontId="4" fillId="5" borderId="10" xfId="0" applyFont="1" applyFill="1" applyBorder="1" applyAlignment="1"/>
    <xf numFmtId="0" fontId="4" fillId="0" borderId="13" xfId="0" applyFont="1" applyBorder="1" applyAlignment="1"/>
    <xf numFmtId="0" fontId="4" fillId="0" borderId="14" xfId="0" applyFont="1" applyBorder="1" applyAlignment="1"/>
    <xf numFmtId="0" fontId="4" fillId="0" borderId="43" xfId="0" applyFont="1" applyBorder="1" applyAlignment="1"/>
    <xf numFmtId="0" fontId="4" fillId="0" borderId="44" xfId="0" applyFont="1" applyBorder="1" applyAlignment="1"/>
    <xf numFmtId="0" fontId="4" fillId="0" borderId="16" xfId="0" applyFont="1" applyBorder="1" applyAlignment="1"/>
    <xf numFmtId="0" fontId="4" fillId="0" borderId="17" xfId="0" applyFont="1" applyBorder="1" applyAlignment="1"/>
    <xf numFmtId="0" fontId="4" fillId="0" borderId="41" xfId="0" applyFont="1" applyBorder="1" applyAlignment="1"/>
    <xf numFmtId="0" fontId="4" fillId="0" borderId="42" xfId="0" applyFont="1" applyBorder="1" applyAlignment="1"/>
    <xf numFmtId="0" fontId="4" fillId="0" borderId="19" xfId="0" applyFont="1" applyBorder="1" applyAlignment="1"/>
    <xf numFmtId="0" fontId="4" fillId="0" borderId="21" xfId="0" applyFont="1" applyBorder="1" applyAlignment="1"/>
    <xf numFmtId="0" fontId="0" fillId="0" borderId="36" xfId="0" applyBorder="1" applyAlignment="1"/>
    <xf numFmtId="0" fontId="4" fillId="0" borderId="23" xfId="0" applyFont="1" applyBorder="1" applyAlignment="1"/>
    <xf numFmtId="0" fontId="4" fillId="0" borderId="24" xfId="0" applyFont="1" applyBorder="1" applyAlignment="1"/>
    <xf numFmtId="0" fontId="4" fillId="0" borderId="25" xfId="0" applyFont="1" applyBorder="1" applyAlignment="1"/>
    <xf numFmtId="0" fontId="4" fillId="0" borderId="26" xfId="0" applyFont="1" applyBorder="1" applyAlignment="1"/>
    <xf numFmtId="0" fontId="24" fillId="0" borderId="46" xfId="0" applyFont="1" applyBorder="1" applyAlignment="1"/>
  </cellXfs>
  <cellStyles count="2">
    <cellStyle name="Hyperlink" xfId="1" xr:uid="{00000000-000B-0000-0000-000008000000}"/>
    <cellStyle name="Normal" xfId="0" builtinId="0"/>
  </cellStyles>
  <dxfs count="1">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561975</xdr:colOff>
      <xdr:row>0</xdr:row>
      <xdr:rowOff>28575</xdr:rowOff>
    </xdr:from>
    <xdr:ext cx="2876550" cy="15811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hyperlink" Target="https://learn.microsoft.com/en-gb/training/modules/recognize-synthesize-speech/" TargetMode="External"/><Relationship Id="rId13" Type="http://schemas.openxmlformats.org/officeDocument/2006/relationships/hyperlink" Target="https://learn.microsoft.com/en-gb/training/modules/fundamentals-generative-ai/" TargetMode="External"/><Relationship Id="rId18" Type="http://schemas.openxmlformats.org/officeDocument/2006/relationships/hyperlink" Target="https://learn.microsoft.com/en-gb/training/modules/get-started-generative-ai-azure/" TargetMode="External"/><Relationship Id="rId3" Type="http://schemas.openxmlformats.org/officeDocument/2006/relationships/hyperlink" Target="https://learn.microsoft.com/en-gb/training/modules/get-started-ai-in-foundry/" TargetMode="External"/><Relationship Id="rId21" Type="http://schemas.openxmlformats.org/officeDocument/2006/relationships/hyperlink" Target="https://learn.microsoft.com/en-gb/training/modules/introduction-ai-speech/" TargetMode="External"/><Relationship Id="rId7" Type="http://schemas.openxmlformats.org/officeDocument/2006/relationships/hyperlink" Target="https://learn.microsoft.com/en-gb/training/modules/introduction-ai-speech/" TargetMode="External"/><Relationship Id="rId12" Type="http://schemas.openxmlformats.org/officeDocument/2006/relationships/hyperlink" Target="https://learn.microsoft.com/en-gb/training/modules/ai-information-extraction/" TargetMode="External"/><Relationship Id="rId17" Type="http://schemas.openxmlformats.org/officeDocument/2006/relationships/hyperlink" Target="https://learn.microsoft.com/en-gb/training/modules/get-started-ai-in-foundry/" TargetMode="External"/><Relationship Id="rId25" Type="http://schemas.openxmlformats.org/officeDocument/2006/relationships/comments" Target="../comments2.xml"/><Relationship Id="rId2" Type="http://schemas.openxmlformats.org/officeDocument/2006/relationships/hyperlink" Target="https://learn.microsoft.com/en-gb/training/modules/fundamentals-machine-learning/" TargetMode="External"/><Relationship Id="rId16" Type="http://schemas.openxmlformats.org/officeDocument/2006/relationships/hyperlink" Target="https://learn.microsoft.com/en-us/credentials/certifications/azure-ai-fundamentals/practice/assessment?assessment-type=practice&amp;assessmentId=26&amp;practice-assessment-type=certification" TargetMode="External"/><Relationship Id="rId20" Type="http://schemas.openxmlformats.org/officeDocument/2006/relationships/hyperlink" Target="https://learn.microsoft.com/en-gb/training/modules/get-started-computer-vision-azure/" TargetMode="External"/><Relationship Id="rId1" Type="http://schemas.openxmlformats.org/officeDocument/2006/relationships/hyperlink" Target="https://learn.microsoft.com/en-us/training/modules/get-started-ai-fundamentals/" TargetMode="External"/><Relationship Id="rId6" Type="http://schemas.openxmlformats.org/officeDocument/2006/relationships/hyperlink" Target="https://learn.microsoft.com/en-gb/training/modules/get-started-language-azure/" TargetMode="External"/><Relationship Id="rId11" Type="http://schemas.openxmlformats.org/officeDocument/2006/relationships/hyperlink" Target="https://learn.microsoft.com/en-gb/training/modules/introduction-information-extraction/" TargetMode="External"/><Relationship Id="rId24" Type="http://schemas.openxmlformats.org/officeDocument/2006/relationships/vmlDrawing" Target="../drawings/vmlDrawing2.vml"/><Relationship Id="rId5" Type="http://schemas.openxmlformats.org/officeDocument/2006/relationships/hyperlink" Target="https://learn.microsoft.com/en-gb/training/modules/introduction-language/" TargetMode="External"/><Relationship Id="rId15" Type="http://schemas.openxmlformats.org/officeDocument/2006/relationships/hyperlink" Target="https://learn.microsoft.com/en-gb/training/modules/responsible-ai/" TargetMode="External"/><Relationship Id="rId23" Type="http://schemas.openxmlformats.org/officeDocument/2006/relationships/hyperlink" Target="https://learn.microsoft.com/en-gb/training/modules/design-machine-learning-model-training-solution/" TargetMode="External"/><Relationship Id="rId10" Type="http://schemas.openxmlformats.org/officeDocument/2006/relationships/hyperlink" Target="https://learn.microsoft.com/en-gb/training/modules/get-started-computer-vision-azure/" TargetMode="External"/><Relationship Id="rId19" Type="http://schemas.openxmlformats.org/officeDocument/2006/relationships/hyperlink" Target="https://learn.microsoft.com/en-gb/training/modules/ai-information-extraction/" TargetMode="External"/><Relationship Id="rId4" Type="http://schemas.openxmlformats.org/officeDocument/2006/relationships/hyperlink" Target="https://learn.microsoft.com/en-gb/training/modules/design-machine-learning-model-training-solution/" TargetMode="External"/><Relationship Id="rId9" Type="http://schemas.openxmlformats.org/officeDocument/2006/relationships/hyperlink" Target="https://learn.microsoft.com/en-gb/training/modules/introduction-computer-vision/" TargetMode="External"/><Relationship Id="rId14" Type="http://schemas.openxmlformats.org/officeDocument/2006/relationships/hyperlink" Target="https://learn.microsoft.com/en-gb/training/modules/get-started-generative-ai-azure/" TargetMode="External"/><Relationship Id="rId22" Type="http://schemas.openxmlformats.org/officeDocument/2006/relationships/hyperlink" Target="https://learn.microsoft.com/en-gb/training/modules/get-started-language-azu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1:O19"/>
  <sheetViews>
    <sheetView workbookViewId="0">
      <selection activeCell="B11" sqref="B11"/>
    </sheetView>
  </sheetViews>
  <sheetFormatPr defaultColWidth="12.42578125" defaultRowHeight="15" customHeight="1"/>
  <cols>
    <col min="1" max="1" width="3" customWidth="1"/>
    <col min="2" max="26" width="8.7109375" customWidth="1"/>
  </cols>
  <sheetData>
    <row r="11" spans="2:15" ht="21.75" customHeight="1">
      <c r="B11" s="86" t="s">
        <v>0</v>
      </c>
      <c r="C11" s="121"/>
      <c r="D11" s="121"/>
      <c r="E11" s="121"/>
      <c r="F11" s="121"/>
      <c r="G11" s="121"/>
      <c r="H11" s="121"/>
      <c r="I11" s="121"/>
      <c r="J11" s="121"/>
      <c r="K11" s="121"/>
      <c r="L11" s="121"/>
      <c r="M11" s="121"/>
      <c r="N11" s="121"/>
      <c r="O11" s="122"/>
    </row>
    <row r="12" spans="2:15" ht="12.75" customHeight="1">
      <c r="B12" s="29"/>
      <c r="C12" s="30"/>
      <c r="D12" s="30"/>
      <c r="E12" s="30"/>
      <c r="F12" s="31"/>
      <c r="G12" s="30"/>
      <c r="H12" s="30"/>
      <c r="I12" s="30"/>
      <c r="J12" s="30"/>
      <c r="K12" s="30"/>
      <c r="L12" s="30"/>
      <c r="M12" s="30"/>
      <c r="N12" s="30"/>
      <c r="O12" s="32"/>
    </row>
    <row r="13" spans="2:15" ht="74.25" customHeight="1">
      <c r="B13" s="87" t="s">
        <v>1</v>
      </c>
      <c r="C13" s="121"/>
      <c r="D13" s="121"/>
      <c r="E13" s="121"/>
      <c r="F13" s="121"/>
      <c r="G13" s="121"/>
      <c r="H13" s="121"/>
      <c r="I13" s="121"/>
      <c r="J13" s="121"/>
      <c r="K13" s="121"/>
      <c r="L13" s="121"/>
      <c r="M13" s="121"/>
      <c r="N13" s="121"/>
      <c r="O13" s="122"/>
    </row>
    <row r="17" spans="6:11" ht="24" customHeight="1">
      <c r="F17" s="88" t="s">
        <v>2</v>
      </c>
      <c r="G17" s="123"/>
      <c r="H17" s="124"/>
      <c r="I17" s="89" t="s">
        <v>3</v>
      </c>
      <c r="J17" s="123"/>
      <c r="K17" s="123"/>
    </row>
    <row r="18" spans="6:11" ht="24" customHeight="1">
      <c r="F18" s="90" t="s">
        <v>4</v>
      </c>
      <c r="G18" s="125"/>
      <c r="H18" s="126"/>
      <c r="I18" s="91" t="s">
        <v>5</v>
      </c>
      <c r="J18" s="125"/>
      <c r="K18" s="125"/>
    </row>
    <row r="19" spans="6:11" ht="24" customHeight="1">
      <c r="F19" s="84" t="s">
        <v>6</v>
      </c>
      <c r="G19" s="127"/>
      <c r="H19" s="128"/>
      <c r="I19" s="85" t="s">
        <v>7</v>
      </c>
      <c r="J19" s="127"/>
      <c r="K19" s="127"/>
    </row>
  </sheetData>
  <mergeCells count="8">
    <mergeCell ref="F19:H19"/>
    <mergeCell ref="I19:K19"/>
    <mergeCell ref="B11:O11"/>
    <mergeCell ref="B13:O13"/>
    <mergeCell ref="F17:H17"/>
    <mergeCell ref="I17:K17"/>
    <mergeCell ref="F18:H18"/>
    <mergeCell ref="I18:K18"/>
  </mergeCells>
  <pageMargins left="0.2" right="0.2" top="0.33333333333333298" bottom="0.33333333333333298" header="0" footer="0"/>
  <pageSetup fitToHeight="0" orientation="portrait"/>
  <headerFooter>
    <oddHeader>&amp;L&amp;F</oddHeader>
    <oddFooter>&amp;L26e-BM/HR/HDCV/FSOFT&amp;CInternal Use&amp;R&amp;P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8"/>
  <sheetViews>
    <sheetView zoomScale="125" zoomScaleNormal="125" workbookViewId="0">
      <selection activeCell="C6" sqref="C6:F6"/>
    </sheetView>
  </sheetViews>
  <sheetFormatPr defaultColWidth="12.42578125" defaultRowHeight="15" customHeight="1"/>
  <cols>
    <col min="1" max="1" width="4.85546875" customWidth="1"/>
    <col min="2" max="2" width="17.42578125" customWidth="1"/>
    <col min="3" max="3" width="24.42578125" customWidth="1"/>
    <col min="4" max="4" width="10.42578125" customWidth="1"/>
    <col min="5" max="5" width="16.42578125" customWidth="1"/>
    <col min="6" max="6" width="41.7109375" customWidth="1"/>
    <col min="7" max="26" width="9.140625" customWidth="1"/>
  </cols>
  <sheetData>
    <row r="1" spans="1:6" ht="36" customHeight="1">
      <c r="A1" s="113" t="str">
        <f>C3&amp;" "&amp;"Syllabus"</f>
        <v>Azure AI Fundamentals Syllabus</v>
      </c>
      <c r="B1" s="121"/>
      <c r="C1" s="121"/>
      <c r="D1" s="121"/>
      <c r="E1" s="121"/>
      <c r="F1" s="121"/>
    </row>
    <row r="2" spans="1:6" ht="15" customHeight="1">
      <c r="A2" s="2">
        <v>1</v>
      </c>
      <c r="B2" s="3" t="s">
        <v>8</v>
      </c>
      <c r="C2" s="114" t="s">
        <v>9</v>
      </c>
      <c r="D2" s="129"/>
      <c r="E2" s="129"/>
      <c r="F2" s="130"/>
    </row>
    <row r="3" spans="1:6" ht="15" customHeight="1">
      <c r="A3" s="4">
        <v>2</v>
      </c>
      <c r="B3" s="5" t="s">
        <v>10</v>
      </c>
      <c r="C3" s="115" t="s">
        <v>11</v>
      </c>
      <c r="D3" s="131"/>
      <c r="E3" s="131"/>
      <c r="F3" s="132"/>
    </row>
    <row r="4" spans="1:6" ht="15" customHeight="1">
      <c r="A4" s="4">
        <v>3</v>
      </c>
      <c r="B4" s="5" t="s">
        <v>12</v>
      </c>
      <c r="C4" s="116" t="s">
        <v>13</v>
      </c>
      <c r="D4" s="133"/>
      <c r="E4" s="133"/>
      <c r="F4" s="134"/>
    </row>
    <row r="5" spans="1:6" ht="18" customHeight="1">
      <c r="A5" s="4">
        <v>4</v>
      </c>
      <c r="B5" s="5" t="s">
        <v>4</v>
      </c>
      <c r="C5" s="117">
        <v>1</v>
      </c>
      <c r="D5" s="131"/>
      <c r="E5" s="131"/>
      <c r="F5" s="132"/>
    </row>
    <row r="6" spans="1:6" ht="72.95" customHeight="1">
      <c r="A6" s="4">
        <v>5</v>
      </c>
      <c r="B6" s="5" t="s">
        <v>14</v>
      </c>
      <c r="C6" s="110" t="s">
        <v>15</v>
      </c>
      <c r="D6" s="131"/>
      <c r="E6" s="131"/>
      <c r="F6" s="132"/>
    </row>
    <row r="7" spans="1:6" ht="38.1" customHeight="1">
      <c r="A7" s="93">
        <v>6</v>
      </c>
      <c r="B7" s="94" t="s">
        <v>16</v>
      </c>
      <c r="C7" s="111" t="s">
        <v>17</v>
      </c>
      <c r="D7" s="131"/>
      <c r="E7" s="131"/>
      <c r="F7" s="132"/>
    </row>
    <row r="8" spans="1:6" ht="15" customHeight="1">
      <c r="A8" s="135"/>
      <c r="B8" s="136"/>
      <c r="C8" s="34" t="s">
        <v>18</v>
      </c>
      <c r="D8" s="35" t="s">
        <v>19</v>
      </c>
      <c r="E8" s="112" t="s">
        <v>20</v>
      </c>
      <c r="F8" s="137"/>
    </row>
    <row r="9" spans="1:6" ht="32.1" customHeight="1">
      <c r="A9" s="135"/>
      <c r="B9" s="138"/>
      <c r="C9" s="55" t="s">
        <v>21</v>
      </c>
      <c r="D9" s="57" t="s">
        <v>22</v>
      </c>
      <c r="E9" s="99" t="s">
        <v>23</v>
      </c>
      <c r="F9" s="99"/>
    </row>
    <row r="10" spans="1:6" ht="30" customHeight="1">
      <c r="A10" s="135"/>
      <c r="B10" s="138"/>
      <c r="C10" s="55" t="s">
        <v>24</v>
      </c>
      <c r="D10" s="57" t="s">
        <v>25</v>
      </c>
      <c r="E10" s="99" t="s">
        <v>26</v>
      </c>
      <c r="F10" s="99"/>
    </row>
    <row r="11" spans="1:6" ht="39.950000000000003" customHeight="1">
      <c r="A11" s="135"/>
      <c r="B11" s="138"/>
      <c r="C11" s="55" t="s">
        <v>27</v>
      </c>
      <c r="D11" s="40" t="s">
        <v>28</v>
      </c>
      <c r="E11" s="99" t="s">
        <v>29</v>
      </c>
      <c r="F11" s="99"/>
    </row>
    <row r="12" spans="1:6" ht="39.950000000000003" customHeight="1">
      <c r="A12" s="135"/>
      <c r="B12" s="138"/>
      <c r="C12" s="55" t="s">
        <v>30</v>
      </c>
      <c r="D12" s="40" t="s">
        <v>31</v>
      </c>
      <c r="E12" s="99" t="s">
        <v>32</v>
      </c>
      <c r="F12" s="99"/>
    </row>
    <row r="13" spans="1:6" ht="39.950000000000003" customHeight="1">
      <c r="A13" s="135"/>
      <c r="B13" s="138"/>
      <c r="C13" s="55" t="s">
        <v>33</v>
      </c>
      <c r="D13" s="40" t="s">
        <v>34</v>
      </c>
      <c r="E13" s="99" t="s">
        <v>35</v>
      </c>
      <c r="F13" s="99"/>
    </row>
    <row r="14" spans="1:6" ht="39.950000000000003" customHeight="1">
      <c r="A14" s="135"/>
      <c r="B14" s="138"/>
      <c r="C14" s="55" t="s">
        <v>36</v>
      </c>
      <c r="D14" s="40" t="s">
        <v>37</v>
      </c>
      <c r="E14" s="99" t="s">
        <v>38</v>
      </c>
      <c r="F14" s="99"/>
    </row>
    <row r="15" spans="1:6" ht="26.45">
      <c r="A15" s="135"/>
      <c r="B15" s="138"/>
      <c r="C15" s="55" t="s">
        <v>39</v>
      </c>
      <c r="D15" s="40" t="s">
        <v>40</v>
      </c>
      <c r="E15" s="99" t="s">
        <v>41</v>
      </c>
      <c r="F15" s="99"/>
    </row>
    <row r="16" spans="1:6" ht="26.45">
      <c r="A16" s="135"/>
      <c r="B16" s="138"/>
      <c r="C16" s="55" t="s">
        <v>42</v>
      </c>
      <c r="D16" s="40" t="s">
        <v>43</v>
      </c>
      <c r="E16" s="99" t="s">
        <v>44</v>
      </c>
      <c r="F16" s="99"/>
    </row>
    <row r="17" spans="1:6" ht="137.25" customHeight="1">
      <c r="A17" s="139"/>
      <c r="B17" s="140"/>
      <c r="C17" s="95" t="s">
        <v>45</v>
      </c>
      <c r="D17" s="141"/>
      <c r="E17" s="141"/>
      <c r="F17" s="142"/>
    </row>
    <row r="18" spans="1:6" ht="105" customHeight="1">
      <c r="A18" s="4">
        <v>7</v>
      </c>
      <c r="B18" s="5" t="s">
        <v>46</v>
      </c>
      <c r="C18" s="96" t="s">
        <v>47</v>
      </c>
      <c r="D18" s="131"/>
      <c r="E18" s="131"/>
      <c r="F18" s="132"/>
    </row>
    <row r="19" spans="1:6" ht="16.5" customHeight="1">
      <c r="A19" s="93">
        <v>8</v>
      </c>
      <c r="B19" s="97" t="s">
        <v>48</v>
      </c>
      <c r="C19" s="7" t="s">
        <v>49</v>
      </c>
      <c r="D19" s="8">
        <f>ScheduleDetail!H52</f>
        <v>0.22959183673469388</v>
      </c>
      <c r="E19" s="9" t="s">
        <v>50</v>
      </c>
      <c r="F19" s="98" t="s">
        <v>51</v>
      </c>
    </row>
    <row r="20" spans="1:6" ht="16.5" customHeight="1">
      <c r="A20" s="135"/>
      <c r="B20" s="136"/>
      <c r="C20" s="7" t="s">
        <v>52</v>
      </c>
      <c r="D20" s="8">
        <f>ScheduleDetail!H53</f>
        <v>0.43877551020408162</v>
      </c>
      <c r="E20" s="9" t="s">
        <v>53</v>
      </c>
      <c r="F20" s="143"/>
    </row>
    <row r="21" spans="1:6" ht="16.5" customHeight="1">
      <c r="A21" s="135"/>
      <c r="B21" s="136"/>
      <c r="C21" s="7" t="s">
        <v>54</v>
      </c>
      <c r="D21" s="8">
        <f>ScheduleDetail!H54</f>
        <v>0.15816326530612246</v>
      </c>
      <c r="E21" s="9" t="s">
        <v>55</v>
      </c>
      <c r="F21" s="143"/>
    </row>
    <row r="22" spans="1:6" ht="27" customHeight="1">
      <c r="A22" s="135"/>
      <c r="B22" s="136"/>
      <c r="C22" s="10" t="s">
        <v>56</v>
      </c>
      <c r="D22" s="11">
        <f>ScheduleDetail!H57</f>
        <v>0.15816326530612246</v>
      </c>
      <c r="E22" s="12" t="s">
        <v>57</v>
      </c>
      <c r="F22" s="143"/>
    </row>
    <row r="23" spans="1:6" ht="16.5" customHeight="1">
      <c r="A23" s="135"/>
      <c r="B23" s="136"/>
      <c r="C23" s="10" t="s">
        <v>58</v>
      </c>
      <c r="D23" s="11">
        <f>ScheduleDetail!H58</f>
        <v>0</v>
      </c>
      <c r="E23" s="12" t="s">
        <v>59</v>
      </c>
      <c r="F23" s="143"/>
    </row>
    <row r="24" spans="1:6" ht="16.5" customHeight="1">
      <c r="A24" s="135"/>
      <c r="B24" s="136"/>
      <c r="C24" s="7" t="s">
        <v>60</v>
      </c>
      <c r="D24" s="8">
        <f>ScheduleDetail!H55</f>
        <v>0</v>
      </c>
      <c r="E24" s="9" t="s">
        <v>61</v>
      </c>
      <c r="F24" s="143"/>
    </row>
    <row r="25" spans="1:6" ht="12.75" customHeight="1">
      <c r="A25" s="139"/>
      <c r="B25" s="140"/>
      <c r="C25" s="7" t="s">
        <v>62</v>
      </c>
      <c r="D25" s="8">
        <f>ScheduleDetail!H56</f>
        <v>1.5306122448979591E-2</v>
      </c>
      <c r="E25" s="9" t="s">
        <v>63</v>
      </c>
      <c r="F25" s="144"/>
    </row>
    <row r="26" spans="1:6" ht="74.25" customHeight="1">
      <c r="A26" s="93">
        <v>9</v>
      </c>
      <c r="B26" s="97" t="s">
        <v>64</v>
      </c>
      <c r="C26" s="7" t="s">
        <v>65</v>
      </c>
      <c r="D26" s="108" t="s">
        <v>66</v>
      </c>
      <c r="E26" s="131"/>
      <c r="F26" s="132"/>
    </row>
    <row r="27" spans="1:6" ht="75" customHeight="1">
      <c r="A27" s="135"/>
      <c r="B27" s="136"/>
      <c r="C27" s="7" t="s">
        <v>67</v>
      </c>
      <c r="D27" s="109" t="s">
        <v>68</v>
      </c>
      <c r="E27" s="145"/>
      <c r="F27" s="145"/>
    </row>
    <row r="28" spans="1:6" ht="21" customHeight="1">
      <c r="A28" s="139"/>
      <c r="B28" s="140"/>
      <c r="C28" s="7" t="s">
        <v>69</v>
      </c>
      <c r="D28" s="92" t="s">
        <v>70</v>
      </c>
      <c r="E28" s="131"/>
      <c r="F28" s="132"/>
    </row>
    <row r="29" spans="1:6" ht="32.25" customHeight="1">
      <c r="A29" s="93">
        <v>10</v>
      </c>
      <c r="B29" s="97" t="s">
        <v>71</v>
      </c>
      <c r="C29" s="6" t="s">
        <v>72</v>
      </c>
      <c r="D29" s="13">
        <v>3</v>
      </c>
      <c r="E29" s="14">
        <v>0.3</v>
      </c>
      <c r="F29" s="15"/>
    </row>
    <row r="30" spans="1:6" ht="39" customHeight="1">
      <c r="A30" s="135"/>
      <c r="B30" s="136"/>
      <c r="C30" s="6" t="s">
        <v>73</v>
      </c>
      <c r="D30" s="13">
        <v>1</v>
      </c>
      <c r="E30" s="14">
        <v>0.7</v>
      </c>
      <c r="F30" s="16" t="s">
        <v>74</v>
      </c>
    </row>
    <row r="31" spans="1:6" ht="30" customHeight="1">
      <c r="A31" s="139"/>
      <c r="B31" s="140"/>
      <c r="C31" s="17" t="s">
        <v>75</v>
      </c>
      <c r="D31" s="13">
        <v>7</v>
      </c>
      <c r="E31" s="104"/>
      <c r="F31" s="132"/>
    </row>
    <row r="32" spans="1:6" ht="34.5" customHeight="1">
      <c r="A32" s="93">
        <v>11</v>
      </c>
      <c r="B32" s="105" t="s">
        <v>76</v>
      </c>
      <c r="C32" s="7" t="s">
        <v>77</v>
      </c>
      <c r="D32" s="107" t="s">
        <v>78</v>
      </c>
      <c r="E32" s="131"/>
      <c r="F32" s="132"/>
    </row>
    <row r="33" spans="1:6" ht="72" customHeight="1">
      <c r="A33" s="135"/>
      <c r="B33" s="136"/>
      <c r="C33" s="7" t="s">
        <v>79</v>
      </c>
      <c r="D33" s="107" t="s">
        <v>80</v>
      </c>
      <c r="E33" s="131"/>
      <c r="F33" s="132"/>
    </row>
    <row r="34" spans="1:6" ht="60.95" customHeight="1">
      <c r="A34" s="135"/>
      <c r="B34" s="136"/>
      <c r="C34" s="7" t="s">
        <v>81</v>
      </c>
      <c r="D34" s="100" t="s">
        <v>82</v>
      </c>
      <c r="E34" s="131"/>
      <c r="F34" s="132"/>
    </row>
    <row r="35" spans="1:6" ht="30" customHeight="1">
      <c r="A35" s="135"/>
      <c r="B35" s="136"/>
      <c r="C35" s="7" t="s">
        <v>83</v>
      </c>
      <c r="D35" s="13">
        <v>0</v>
      </c>
      <c r="E35" s="101"/>
      <c r="F35" s="132"/>
    </row>
    <row r="36" spans="1:6" ht="54.75" customHeight="1">
      <c r="A36" s="135"/>
      <c r="B36" s="136"/>
      <c r="C36" s="7" t="s">
        <v>84</v>
      </c>
      <c r="D36" s="102"/>
      <c r="E36" s="131"/>
      <c r="F36" s="132"/>
    </row>
    <row r="37" spans="1:6" ht="33" customHeight="1">
      <c r="A37" s="135"/>
      <c r="B37" s="136"/>
      <c r="C37" s="7" t="s">
        <v>85</v>
      </c>
      <c r="D37" s="103" t="s">
        <v>86</v>
      </c>
      <c r="E37" s="146"/>
      <c r="F37" s="147"/>
    </row>
    <row r="38" spans="1:6" ht="33" customHeight="1">
      <c r="A38" s="148"/>
      <c r="B38" s="149"/>
      <c r="C38" s="18" t="s">
        <v>87</v>
      </c>
      <c r="D38" s="106" t="s">
        <v>70</v>
      </c>
      <c r="E38" s="146"/>
      <c r="F38" s="147"/>
    </row>
  </sheetData>
  <mergeCells count="40">
    <mergeCell ref="A1:F1"/>
    <mergeCell ref="C2:F2"/>
    <mergeCell ref="C3:F3"/>
    <mergeCell ref="C4:F4"/>
    <mergeCell ref="C5:F5"/>
    <mergeCell ref="C6:F6"/>
    <mergeCell ref="C7:F7"/>
    <mergeCell ref="E8:F8"/>
    <mergeCell ref="E9:F9"/>
    <mergeCell ref="E15:F15"/>
    <mergeCell ref="E12:F12"/>
    <mergeCell ref="E13:F13"/>
    <mergeCell ref="E14:F14"/>
    <mergeCell ref="D34:F34"/>
    <mergeCell ref="E35:F35"/>
    <mergeCell ref="D36:F36"/>
    <mergeCell ref="D37:F37"/>
    <mergeCell ref="A26:A28"/>
    <mergeCell ref="A29:A31"/>
    <mergeCell ref="B29:B31"/>
    <mergeCell ref="E31:F31"/>
    <mergeCell ref="A32:A38"/>
    <mergeCell ref="B32:B38"/>
    <mergeCell ref="D38:F38"/>
    <mergeCell ref="D32:F32"/>
    <mergeCell ref="D33:F33"/>
    <mergeCell ref="D26:F26"/>
    <mergeCell ref="D27:F27"/>
    <mergeCell ref="B26:B28"/>
    <mergeCell ref="D28:F28"/>
    <mergeCell ref="A7:A17"/>
    <mergeCell ref="B7:B17"/>
    <mergeCell ref="C17:F17"/>
    <mergeCell ref="C18:F18"/>
    <mergeCell ref="A19:A25"/>
    <mergeCell ref="B19:B25"/>
    <mergeCell ref="F19:F25"/>
    <mergeCell ref="E10:F10"/>
    <mergeCell ref="E11:F11"/>
    <mergeCell ref="E16:F16"/>
  </mergeCells>
  <dataValidations disablePrompts="1" count="1">
    <dataValidation allowBlank="1" showErrorMessage="1" sqref="C2:F2" xr:uid="{9B3B2A65-B5C2-CB4A-A1DA-2731053D1156}"/>
  </dataValidations>
  <pageMargins left="0.24027777777777801" right="0.24027777777777801" top="0.31527777777777799" bottom="0.31458333333333299" header="0" footer="0"/>
  <pageSetup paperSize="9" scale="90" orientation="portrait"/>
  <headerFooter>
    <oddFooter>&amp;L18e-BM/DT/FSOFT v1/1&amp;CInternal use&amp;R&amp;P/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9"/>
  <sheetViews>
    <sheetView zoomScale="150" zoomScaleNormal="150" workbookViewId="0">
      <pane ySplit="2" topLeftCell="A42" activePane="bottomLeft" state="frozen"/>
      <selection pane="bottomLeft" activeCell="D19" sqref="D19"/>
    </sheetView>
  </sheetViews>
  <sheetFormatPr defaultColWidth="12.42578125" defaultRowHeight="15" customHeight="1"/>
  <cols>
    <col min="1" max="1" width="8.85546875" style="38" customWidth="1"/>
    <col min="2" max="2" width="32.140625" style="37" customWidth="1"/>
    <col min="3" max="3" width="7.42578125" style="49" customWidth="1"/>
    <col min="4" max="4" width="52.140625" style="50" customWidth="1"/>
    <col min="5" max="5" width="12.42578125" style="38" customWidth="1"/>
    <col min="6" max="6" width="16.28515625" style="38" customWidth="1"/>
    <col min="7" max="7" width="9.140625" style="38" customWidth="1"/>
    <col min="8" max="8" width="13.42578125" style="38" customWidth="1"/>
    <col min="9" max="9" width="90.42578125" style="37" customWidth="1"/>
    <col min="10" max="25" width="9" style="38" customWidth="1"/>
    <col min="26" max="16384" width="12.42578125" style="38"/>
  </cols>
  <sheetData>
    <row r="1" spans="1:9" ht="36.75" customHeight="1">
      <c r="A1" s="118" t="str">
        <f>Syllabus!C3 &amp; " - Training Schedule"</f>
        <v>Azure AI Fundamentals - Training Schedule</v>
      </c>
      <c r="B1" s="150"/>
      <c r="C1" s="150"/>
      <c r="D1" s="150"/>
      <c r="E1" s="150"/>
      <c r="F1" s="150"/>
      <c r="G1" s="150"/>
      <c r="H1" s="150"/>
      <c r="I1" s="150"/>
    </row>
    <row r="2" spans="1:9" ht="39" customHeight="1">
      <c r="A2" s="119" t="s">
        <v>88</v>
      </c>
      <c r="B2" s="150"/>
      <c r="C2" s="70" t="s">
        <v>89</v>
      </c>
      <c r="D2" s="71" t="s">
        <v>90</v>
      </c>
      <c r="E2" s="71" t="s">
        <v>91</v>
      </c>
      <c r="F2" s="72" t="s">
        <v>92</v>
      </c>
      <c r="G2" s="73" t="s">
        <v>93</v>
      </c>
      <c r="H2" s="73" t="s">
        <v>94</v>
      </c>
      <c r="I2" s="72" t="s">
        <v>95</v>
      </c>
    </row>
    <row r="3" spans="1:9" ht="66">
      <c r="A3" s="51"/>
      <c r="B3" s="74" t="s">
        <v>96</v>
      </c>
      <c r="C3" s="39">
        <v>1</v>
      </c>
      <c r="D3" s="56" t="s">
        <v>97</v>
      </c>
      <c r="E3" s="40" t="s">
        <v>43</v>
      </c>
      <c r="F3" s="39" t="s">
        <v>56</v>
      </c>
      <c r="G3" s="41">
        <v>30</v>
      </c>
      <c r="H3" s="41" t="s">
        <v>98</v>
      </c>
      <c r="I3" s="75" t="s">
        <v>99</v>
      </c>
    </row>
    <row r="4" spans="1:9" ht="32.1" customHeight="1">
      <c r="A4" s="51"/>
      <c r="B4" s="74" t="s">
        <v>100</v>
      </c>
      <c r="C4" s="39">
        <v>1</v>
      </c>
      <c r="D4" s="74" t="s">
        <v>100</v>
      </c>
      <c r="E4" s="40" t="s">
        <v>22</v>
      </c>
      <c r="F4" s="39" t="s">
        <v>49</v>
      </c>
      <c r="G4" s="41">
        <v>45</v>
      </c>
      <c r="H4" s="41" t="s">
        <v>101</v>
      </c>
      <c r="I4" s="75" t="s">
        <v>102</v>
      </c>
    </row>
    <row r="5" spans="1:9" ht="32.1" customHeight="1">
      <c r="A5" s="51"/>
      <c r="B5" s="74" t="s">
        <v>103</v>
      </c>
      <c r="C5" s="39">
        <v>1</v>
      </c>
      <c r="D5" s="56" t="s">
        <v>104</v>
      </c>
      <c r="E5" s="40" t="s">
        <v>22</v>
      </c>
      <c r="F5" s="39" t="s">
        <v>56</v>
      </c>
      <c r="G5" s="41">
        <v>45</v>
      </c>
      <c r="H5" s="41" t="s">
        <v>98</v>
      </c>
      <c r="I5" s="75" t="s">
        <v>105</v>
      </c>
    </row>
    <row r="6" spans="1:9" ht="32.1" customHeight="1">
      <c r="A6" s="51"/>
      <c r="B6" s="74" t="s">
        <v>103</v>
      </c>
      <c r="C6" s="39">
        <v>1</v>
      </c>
      <c r="D6" s="56" t="s">
        <v>104</v>
      </c>
      <c r="E6" s="40" t="s">
        <v>22</v>
      </c>
      <c r="F6" s="39" t="s">
        <v>54</v>
      </c>
      <c r="G6" s="41">
        <v>45</v>
      </c>
      <c r="H6" s="41" t="s">
        <v>98</v>
      </c>
      <c r="I6" s="75" t="s">
        <v>105</v>
      </c>
    </row>
    <row r="7" spans="1:9" ht="32.1" customHeight="1">
      <c r="A7" s="51"/>
      <c r="B7" s="76" t="s">
        <v>106</v>
      </c>
      <c r="C7" s="39">
        <v>1</v>
      </c>
      <c r="D7" s="76" t="s">
        <v>106</v>
      </c>
      <c r="E7" s="40" t="s">
        <v>22</v>
      </c>
      <c r="F7" s="39" t="s">
        <v>52</v>
      </c>
      <c r="G7" s="41">
        <v>120</v>
      </c>
      <c r="H7" s="41" t="s">
        <v>107</v>
      </c>
      <c r="I7" s="75" t="s">
        <v>108</v>
      </c>
    </row>
    <row r="8" spans="1:9" ht="32.1" customHeight="1">
      <c r="A8" s="51"/>
      <c r="B8" s="52" t="s">
        <v>109</v>
      </c>
      <c r="C8" s="39">
        <v>2</v>
      </c>
      <c r="D8" s="52" t="s">
        <v>109</v>
      </c>
      <c r="E8" s="40" t="s">
        <v>22</v>
      </c>
      <c r="F8" s="39" t="s">
        <v>49</v>
      </c>
      <c r="G8" s="41">
        <v>45</v>
      </c>
      <c r="H8" s="41" t="s">
        <v>101</v>
      </c>
      <c r="I8" s="36" t="s">
        <v>110</v>
      </c>
    </row>
    <row r="9" spans="1:9" ht="32.1" customHeight="1">
      <c r="A9" s="51"/>
      <c r="B9" s="52" t="s">
        <v>111</v>
      </c>
      <c r="C9" s="39">
        <v>2</v>
      </c>
      <c r="D9" s="52" t="s">
        <v>109</v>
      </c>
      <c r="E9" s="40" t="s">
        <v>31</v>
      </c>
      <c r="F9" s="39" t="s">
        <v>52</v>
      </c>
      <c r="G9" s="41">
        <v>60</v>
      </c>
      <c r="H9" s="41" t="s">
        <v>101</v>
      </c>
      <c r="I9" s="36" t="s">
        <v>110</v>
      </c>
    </row>
    <row r="10" spans="1:9" ht="32.1" customHeight="1">
      <c r="A10" s="51"/>
      <c r="B10" s="52" t="s">
        <v>112</v>
      </c>
      <c r="C10" s="39">
        <v>2</v>
      </c>
      <c r="D10" s="56" t="s">
        <v>113</v>
      </c>
      <c r="E10" s="40" t="s">
        <v>22</v>
      </c>
      <c r="F10" s="39" t="s">
        <v>56</v>
      </c>
      <c r="G10" s="41">
        <v>60</v>
      </c>
      <c r="H10" s="41" t="s">
        <v>98</v>
      </c>
      <c r="I10" s="75" t="s">
        <v>114</v>
      </c>
    </row>
    <row r="11" spans="1:9" ht="32.1" customHeight="1">
      <c r="A11" s="51"/>
      <c r="B11" s="52" t="s">
        <v>112</v>
      </c>
      <c r="C11" s="39">
        <v>2</v>
      </c>
      <c r="D11" s="56" t="s">
        <v>113</v>
      </c>
      <c r="E11" s="40" t="s">
        <v>22</v>
      </c>
      <c r="F11" s="39" t="s">
        <v>54</v>
      </c>
      <c r="G11" s="41">
        <v>60</v>
      </c>
      <c r="H11" s="41" t="s">
        <v>98</v>
      </c>
      <c r="I11" s="75" t="s">
        <v>114</v>
      </c>
    </row>
    <row r="12" spans="1:9" ht="32.1" customHeight="1">
      <c r="A12" s="51"/>
      <c r="B12" s="76" t="s">
        <v>115</v>
      </c>
      <c r="C12" s="39">
        <v>2</v>
      </c>
      <c r="D12" s="76" t="s">
        <v>115</v>
      </c>
      <c r="E12" s="40" t="s">
        <v>31</v>
      </c>
      <c r="F12" s="39" t="s">
        <v>52</v>
      </c>
      <c r="G12" s="41">
        <v>120</v>
      </c>
      <c r="H12" s="41" t="s">
        <v>107</v>
      </c>
      <c r="I12" s="75" t="s">
        <v>108</v>
      </c>
    </row>
    <row r="13" spans="1:9" ht="32.1" customHeight="1">
      <c r="A13" s="51"/>
      <c r="B13" s="52" t="s">
        <v>116</v>
      </c>
      <c r="C13" s="39">
        <v>3</v>
      </c>
      <c r="D13" s="52" t="s">
        <v>116</v>
      </c>
      <c r="E13" s="40" t="s">
        <v>22</v>
      </c>
      <c r="F13" s="39" t="s">
        <v>49</v>
      </c>
      <c r="G13" s="41">
        <v>45</v>
      </c>
      <c r="H13" s="41" t="s">
        <v>101</v>
      </c>
      <c r="I13" s="36" t="s">
        <v>117</v>
      </c>
    </row>
    <row r="14" spans="1:9" ht="32.1" customHeight="1">
      <c r="A14" s="51"/>
      <c r="B14" s="52" t="s">
        <v>118</v>
      </c>
      <c r="C14" s="39">
        <v>3</v>
      </c>
      <c r="D14" s="56" t="s">
        <v>119</v>
      </c>
      <c r="E14" s="40" t="s">
        <v>25</v>
      </c>
      <c r="F14" s="39" t="s">
        <v>56</v>
      </c>
      <c r="G14" s="41">
        <v>60</v>
      </c>
      <c r="H14" s="41" t="s">
        <v>98</v>
      </c>
      <c r="I14" s="75" t="s">
        <v>120</v>
      </c>
    </row>
    <row r="15" spans="1:9" ht="32.1" customHeight="1">
      <c r="A15" s="51"/>
      <c r="B15" s="52" t="s">
        <v>118</v>
      </c>
      <c r="C15" s="39">
        <v>3</v>
      </c>
      <c r="D15" s="56" t="s">
        <v>119</v>
      </c>
      <c r="E15" s="40" t="s">
        <v>25</v>
      </c>
      <c r="F15" s="39" t="s">
        <v>54</v>
      </c>
      <c r="G15" s="41">
        <v>60</v>
      </c>
      <c r="H15" s="41" t="s">
        <v>98</v>
      </c>
      <c r="I15" s="75" t="s">
        <v>120</v>
      </c>
    </row>
    <row r="16" spans="1:9" ht="32.1" customHeight="1">
      <c r="A16" s="51"/>
      <c r="B16" s="76" t="s">
        <v>121</v>
      </c>
      <c r="C16" s="39">
        <v>3</v>
      </c>
      <c r="D16" s="76" t="s">
        <v>121</v>
      </c>
      <c r="E16" s="40" t="s">
        <v>122</v>
      </c>
      <c r="F16" s="39" t="s">
        <v>52</v>
      </c>
      <c r="G16" s="41">
        <v>120</v>
      </c>
      <c r="H16" s="41" t="s">
        <v>107</v>
      </c>
      <c r="I16" s="75" t="s">
        <v>108</v>
      </c>
    </row>
    <row r="17" spans="1:9" ht="32.1" customHeight="1">
      <c r="A17" s="51"/>
      <c r="B17" s="52" t="s">
        <v>123</v>
      </c>
      <c r="C17" s="39">
        <v>4</v>
      </c>
      <c r="D17" s="52" t="s">
        <v>123</v>
      </c>
      <c r="E17" s="40" t="s">
        <v>25</v>
      </c>
      <c r="F17" s="39" t="s">
        <v>49</v>
      </c>
      <c r="G17" s="41">
        <v>45</v>
      </c>
      <c r="H17" s="41" t="s">
        <v>101</v>
      </c>
      <c r="I17" s="36" t="s">
        <v>124</v>
      </c>
    </row>
    <row r="18" spans="1:9" ht="32.1" customHeight="1">
      <c r="A18" s="51"/>
      <c r="B18" s="52" t="s">
        <v>125</v>
      </c>
      <c r="C18" s="39">
        <v>4</v>
      </c>
      <c r="D18" s="56" t="s">
        <v>126</v>
      </c>
      <c r="E18" s="40" t="s">
        <v>28</v>
      </c>
      <c r="F18" s="39" t="s">
        <v>56</v>
      </c>
      <c r="G18" s="41">
        <v>60</v>
      </c>
      <c r="H18" s="41" t="s">
        <v>98</v>
      </c>
      <c r="I18" s="75" t="s">
        <v>127</v>
      </c>
    </row>
    <row r="19" spans="1:9" ht="32.1" customHeight="1">
      <c r="A19" s="51"/>
      <c r="B19" s="52" t="s">
        <v>125</v>
      </c>
      <c r="C19" s="39">
        <v>4</v>
      </c>
      <c r="D19" s="56" t="s">
        <v>126</v>
      </c>
      <c r="E19" s="40" t="s">
        <v>28</v>
      </c>
      <c r="F19" s="39" t="s">
        <v>54</v>
      </c>
      <c r="G19" s="41">
        <v>60</v>
      </c>
      <c r="H19" s="41" t="s">
        <v>98</v>
      </c>
      <c r="I19" s="75" t="s">
        <v>127</v>
      </c>
    </row>
    <row r="20" spans="1:9" ht="32.1" customHeight="1">
      <c r="A20" s="51"/>
      <c r="B20" s="76" t="s">
        <v>128</v>
      </c>
      <c r="C20" s="39">
        <v>4</v>
      </c>
      <c r="D20" s="76" t="s">
        <v>128</v>
      </c>
      <c r="E20" s="40" t="s">
        <v>122</v>
      </c>
      <c r="F20" s="39" t="s">
        <v>52</v>
      </c>
      <c r="G20" s="41">
        <v>120</v>
      </c>
      <c r="H20" s="41" t="s">
        <v>107</v>
      </c>
      <c r="I20" s="75" t="s">
        <v>108</v>
      </c>
    </row>
    <row r="21" spans="1:9" ht="32.1" customHeight="1">
      <c r="A21" s="51"/>
      <c r="B21" s="76" t="s">
        <v>129</v>
      </c>
      <c r="C21" s="39">
        <v>4</v>
      </c>
      <c r="D21" s="76" t="s">
        <v>129</v>
      </c>
      <c r="E21" s="40" t="s">
        <v>37</v>
      </c>
      <c r="F21" s="39" t="s">
        <v>52</v>
      </c>
      <c r="G21" s="41">
        <v>60</v>
      </c>
      <c r="H21" s="41" t="s">
        <v>101</v>
      </c>
      <c r="I21" s="36" t="s">
        <v>124</v>
      </c>
    </row>
    <row r="22" spans="1:9" ht="32.1" customHeight="1">
      <c r="A22" s="51"/>
      <c r="B22" s="52" t="s">
        <v>130</v>
      </c>
      <c r="C22" s="39">
        <v>5</v>
      </c>
      <c r="D22" s="52" t="s">
        <v>130</v>
      </c>
      <c r="E22" s="40" t="s">
        <v>28</v>
      </c>
      <c r="F22" s="39" t="s">
        <v>49</v>
      </c>
      <c r="G22" s="41">
        <v>45</v>
      </c>
      <c r="H22" s="41" t="s">
        <v>101</v>
      </c>
      <c r="I22" s="36" t="s">
        <v>131</v>
      </c>
    </row>
    <row r="23" spans="1:9" ht="32.1" customHeight="1">
      <c r="A23" s="51"/>
      <c r="B23" s="52" t="s">
        <v>132</v>
      </c>
      <c r="C23" s="39">
        <v>5</v>
      </c>
      <c r="D23" s="52" t="s">
        <v>132</v>
      </c>
      <c r="E23" s="40" t="s">
        <v>28</v>
      </c>
      <c r="F23" s="39" t="s">
        <v>49</v>
      </c>
      <c r="G23" s="41">
        <v>45</v>
      </c>
      <c r="H23" s="41" t="s">
        <v>101</v>
      </c>
      <c r="I23" s="36" t="s">
        <v>133</v>
      </c>
    </row>
    <row r="24" spans="1:9" ht="32.1" customHeight="1">
      <c r="A24" s="51"/>
      <c r="B24" s="52" t="s">
        <v>134</v>
      </c>
      <c r="C24" s="39">
        <v>5</v>
      </c>
      <c r="D24" s="52" t="s">
        <v>134</v>
      </c>
      <c r="E24" s="40" t="s">
        <v>28</v>
      </c>
      <c r="F24" s="39" t="s">
        <v>49</v>
      </c>
      <c r="G24" s="41">
        <v>45</v>
      </c>
      <c r="H24" s="41" t="s">
        <v>101</v>
      </c>
      <c r="I24" s="36" t="s">
        <v>135</v>
      </c>
    </row>
    <row r="25" spans="1:9" ht="32.1" customHeight="1">
      <c r="A25" s="51"/>
      <c r="B25" s="52" t="s">
        <v>136</v>
      </c>
      <c r="C25" s="39">
        <v>5</v>
      </c>
      <c r="D25" s="52" t="s">
        <v>136</v>
      </c>
      <c r="E25" s="40" t="s">
        <v>28</v>
      </c>
      <c r="F25" s="39" t="s">
        <v>49</v>
      </c>
      <c r="G25" s="41">
        <v>45</v>
      </c>
      <c r="H25" s="41" t="s">
        <v>101</v>
      </c>
      <c r="I25" s="36" t="s">
        <v>137</v>
      </c>
    </row>
    <row r="26" spans="1:9" ht="32.1" customHeight="1">
      <c r="A26" s="51"/>
      <c r="B26" s="52" t="s">
        <v>138</v>
      </c>
      <c r="C26" s="39">
        <v>5</v>
      </c>
      <c r="D26" s="52" t="s">
        <v>138</v>
      </c>
      <c r="E26" s="40" t="s">
        <v>37</v>
      </c>
      <c r="F26" s="39" t="s">
        <v>52</v>
      </c>
      <c r="G26" s="41">
        <v>60</v>
      </c>
      <c r="H26" s="41" t="s">
        <v>101</v>
      </c>
      <c r="I26" s="36" t="s">
        <v>133</v>
      </c>
    </row>
    <row r="27" spans="1:9" ht="32.1" customHeight="1">
      <c r="A27" s="51"/>
      <c r="B27" s="52" t="s">
        <v>139</v>
      </c>
      <c r="C27" s="39">
        <v>5</v>
      </c>
      <c r="D27" s="56" t="s">
        <v>140</v>
      </c>
      <c r="E27" s="40" t="s">
        <v>28</v>
      </c>
      <c r="F27" s="39" t="s">
        <v>56</v>
      </c>
      <c r="G27" s="41">
        <v>60</v>
      </c>
      <c r="H27" s="41" t="s">
        <v>98</v>
      </c>
      <c r="I27" s="75" t="s">
        <v>141</v>
      </c>
    </row>
    <row r="28" spans="1:9" ht="32.1" customHeight="1">
      <c r="A28" s="51"/>
      <c r="B28" s="52" t="s">
        <v>139</v>
      </c>
      <c r="C28" s="39">
        <v>5</v>
      </c>
      <c r="D28" s="56" t="s">
        <v>140</v>
      </c>
      <c r="E28" s="40" t="s">
        <v>28</v>
      </c>
      <c r="F28" s="39" t="s">
        <v>54</v>
      </c>
      <c r="G28" s="41">
        <v>60</v>
      </c>
      <c r="H28" s="41" t="s">
        <v>98</v>
      </c>
      <c r="I28" s="75" t="s">
        <v>141</v>
      </c>
    </row>
    <row r="29" spans="1:9" ht="32.1" customHeight="1">
      <c r="A29" s="51"/>
      <c r="B29" s="52" t="s">
        <v>142</v>
      </c>
      <c r="C29" s="39">
        <v>5</v>
      </c>
      <c r="D29" s="52" t="s">
        <v>142</v>
      </c>
      <c r="E29" s="40" t="s">
        <v>122</v>
      </c>
      <c r="F29" s="39" t="s">
        <v>52</v>
      </c>
      <c r="G29" s="41">
        <v>60</v>
      </c>
      <c r="H29" s="41" t="s">
        <v>107</v>
      </c>
      <c r="I29" s="75" t="s">
        <v>108</v>
      </c>
    </row>
    <row r="30" spans="1:9" ht="32.1" customHeight="1">
      <c r="A30" s="51"/>
      <c r="B30" s="52" t="s">
        <v>143</v>
      </c>
      <c r="C30" s="39">
        <v>5</v>
      </c>
      <c r="D30" s="52" t="s">
        <v>143</v>
      </c>
      <c r="E30" s="40" t="s">
        <v>37</v>
      </c>
      <c r="F30" s="39" t="s">
        <v>52</v>
      </c>
      <c r="G30" s="41">
        <v>60</v>
      </c>
      <c r="H30" s="41" t="s">
        <v>101</v>
      </c>
      <c r="I30" s="36" t="s">
        <v>135</v>
      </c>
    </row>
    <row r="31" spans="1:9" ht="32.1" customHeight="1">
      <c r="A31" s="51"/>
      <c r="B31" s="52" t="s">
        <v>144</v>
      </c>
      <c r="C31" s="39">
        <v>6</v>
      </c>
      <c r="D31" s="52" t="s">
        <v>144</v>
      </c>
      <c r="E31" s="40" t="s">
        <v>28</v>
      </c>
      <c r="F31" s="39" t="s">
        <v>49</v>
      </c>
      <c r="G31" s="41">
        <v>45</v>
      </c>
      <c r="H31" s="41" t="s">
        <v>101</v>
      </c>
      <c r="I31" s="75" t="s">
        <v>145</v>
      </c>
    </row>
    <row r="32" spans="1:9" ht="32.1" customHeight="1">
      <c r="A32" s="51"/>
      <c r="B32" s="52" t="s">
        <v>146</v>
      </c>
      <c r="C32" s="39">
        <v>6</v>
      </c>
      <c r="D32" s="52" t="s">
        <v>146</v>
      </c>
      <c r="E32" s="40" t="s">
        <v>28</v>
      </c>
      <c r="F32" s="39" t="s">
        <v>49</v>
      </c>
      <c r="G32" s="41">
        <v>45</v>
      </c>
      <c r="H32" s="41" t="s">
        <v>101</v>
      </c>
      <c r="I32" s="75" t="s">
        <v>147</v>
      </c>
    </row>
    <row r="33" spans="1:9" ht="32.1" customHeight="1">
      <c r="A33" s="51"/>
      <c r="B33" s="52" t="s">
        <v>148</v>
      </c>
      <c r="C33" s="39">
        <v>6</v>
      </c>
      <c r="D33" s="52" t="s">
        <v>148</v>
      </c>
      <c r="E33" s="40" t="s">
        <v>37</v>
      </c>
      <c r="F33" s="39" t="s">
        <v>52</v>
      </c>
      <c r="G33" s="41">
        <v>45</v>
      </c>
      <c r="H33" s="41" t="s">
        <v>101</v>
      </c>
      <c r="I33" s="75" t="s">
        <v>147</v>
      </c>
    </row>
    <row r="34" spans="1:9" ht="32.1" customHeight="1">
      <c r="A34" s="51"/>
      <c r="B34" s="52" t="s">
        <v>149</v>
      </c>
      <c r="C34" s="39">
        <v>6</v>
      </c>
      <c r="D34" s="52" t="s">
        <v>149</v>
      </c>
      <c r="E34" s="40" t="s">
        <v>28</v>
      </c>
      <c r="F34" s="39" t="s">
        <v>49</v>
      </c>
      <c r="G34" s="41">
        <v>45</v>
      </c>
      <c r="H34" s="41" t="s">
        <v>101</v>
      </c>
      <c r="I34" s="75" t="s">
        <v>150</v>
      </c>
    </row>
    <row r="35" spans="1:9" ht="32.1" customHeight="1">
      <c r="A35" s="51"/>
      <c r="B35" s="52" t="s">
        <v>151</v>
      </c>
      <c r="C35" s="39">
        <v>6</v>
      </c>
      <c r="D35" s="52" t="s">
        <v>151</v>
      </c>
      <c r="E35" s="40" t="s">
        <v>28</v>
      </c>
      <c r="F35" s="39" t="s">
        <v>49</v>
      </c>
      <c r="G35" s="41">
        <v>45</v>
      </c>
      <c r="H35" s="41" t="s">
        <v>101</v>
      </c>
      <c r="I35" s="75" t="s">
        <v>152</v>
      </c>
    </row>
    <row r="36" spans="1:9" ht="32.1" customHeight="1">
      <c r="A36" s="51"/>
      <c r="B36" s="52" t="s">
        <v>153</v>
      </c>
      <c r="C36" s="39">
        <v>6</v>
      </c>
      <c r="D36" s="52" t="s">
        <v>153</v>
      </c>
      <c r="E36" s="40" t="s">
        <v>37</v>
      </c>
      <c r="F36" s="39" t="s">
        <v>52</v>
      </c>
      <c r="G36" s="41">
        <v>45</v>
      </c>
      <c r="H36" s="41" t="s">
        <v>101</v>
      </c>
      <c r="I36" s="75" t="s">
        <v>152</v>
      </c>
    </row>
    <row r="37" spans="1:9" ht="32.1" customHeight="1">
      <c r="A37" s="51"/>
      <c r="B37" s="52" t="s">
        <v>154</v>
      </c>
      <c r="C37" s="39">
        <v>6</v>
      </c>
      <c r="D37" s="56" t="s">
        <v>155</v>
      </c>
      <c r="E37" s="40" t="s">
        <v>28</v>
      </c>
      <c r="F37" s="39" t="s">
        <v>56</v>
      </c>
      <c r="G37" s="41">
        <v>60</v>
      </c>
      <c r="H37" s="41" t="s">
        <v>98</v>
      </c>
      <c r="I37" s="75" t="s">
        <v>156</v>
      </c>
    </row>
    <row r="38" spans="1:9" ht="32.1" customHeight="1">
      <c r="A38" s="51"/>
      <c r="B38" s="52" t="s">
        <v>154</v>
      </c>
      <c r="C38" s="39">
        <v>6</v>
      </c>
      <c r="D38" s="56" t="s">
        <v>155</v>
      </c>
      <c r="E38" s="40" t="s">
        <v>28</v>
      </c>
      <c r="F38" s="39" t="s">
        <v>54</v>
      </c>
      <c r="G38" s="41">
        <v>60</v>
      </c>
      <c r="H38" s="41" t="s">
        <v>98</v>
      </c>
      <c r="I38" s="75" t="s">
        <v>156</v>
      </c>
    </row>
    <row r="39" spans="1:9" ht="32.1" customHeight="1">
      <c r="A39" s="51"/>
      <c r="B39" s="52" t="s">
        <v>157</v>
      </c>
      <c r="C39" s="39">
        <v>6</v>
      </c>
      <c r="D39" s="52" t="s">
        <v>157</v>
      </c>
      <c r="E39" s="40" t="s">
        <v>122</v>
      </c>
      <c r="F39" s="39" t="s">
        <v>52</v>
      </c>
      <c r="G39" s="41">
        <v>120</v>
      </c>
      <c r="H39" s="41" t="s">
        <v>107</v>
      </c>
      <c r="I39" s="75" t="s">
        <v>108</v>
      </c>
    </row>
    <row r="40" spans="1:9" ht="32.1" customHeight="1">
      <c r="A40" s="51"/>
      <c r="B40" s="52" t="s">
        <v>158</v>
      </c>
      <c r="C40" s="39">
        <v>7</v>
      </c>
      <c r="D40" s="52" t="s">
        <v>158</v>
      </c>
      <c r="E40" s="40" t="s">
        <v>28</v>
      </c>
      <c r="F40" s="39" t="s">
        <v>49</v>
      </c>
      <c r="G40" s="41">
        <v>45</v>
      </c>
      <c r="H40" s="41" t="s">
        <v>101</v>
      </c>
      <c r="I40" s="75" t="s">
        <v>159</v>
      </c>
    </row>
    <row r="41" spans="1:9" ht="32.1" customHeight="1">
      <c r="A41" s="51"/>
      <c r="B41" s="52" t="s">
        <v>160</v>
      </c>
      <c r="C41" s="39">
        <v>7</v>
      </c>
      <c r="D41" s="52" t="s">
        <v>160</v>
      </c>
      <c r="E41" s="40" t="s">
        <v>28</v>
      </c>
      <c r="F41" s="39" t="s">
        <v>49</v>
      </c>
      <c r="G41" s="41">
        <v>45</v>
      </c>
      <c r="H41" s="41" t="s">
        <v>101</v>
      </c>
      <c r="I41" s="75" t="s">
        <v>161</v>
      </c>
    </row>
    <row r="42" spans="1:9" ht="32.1" customHeight="1">
      <c r="A42" s="51"/>
      <c r="B42" s="52" t="s">
        <v>162</v>
      </c>
      <c r="C42" s="39">
        <v>7</v>
      </c>
      <c r="D42" s="52" t="s">
        <v>160</v>
      </c>
      <c r="E42" s="40" t="s">
        <v>37</v>
      </c>
      <c r="F42" s="39" t="s">
        <v>52</v>
      </c>
      <c r="G42" s="41">
        <v>60</v>
      </c>
      <c r="H42" s="41" t="s">
        <v>101</v>
      </c>
      <c r="I42" s="75" t="s">
        <v>161</v>
      </c>
    </row>
    <row r="43" spans="1:9" ht="32.1" customHeight="1">
      <c r="A43" s="51"/>
      <c r="B43" s="52" t="s">
        <v>163</v>
      </c>
      <c r="C43" s="39">
        <v>7</v>
      </c>
      <c r="D43" s="56" t="s">
        <v>164</v>
      </c>
      <c r="E43" s="40" t="s">
        <v>28</v>
      </c>
      <c r="F43" s="39" t="s">
        <v>56</v>
      </c>
      <c r="G43" s="41">
        <v>60</v>
      </c>
      <c r="H43" s="41" t="s">
        <v>98</v>
      </c>
      <c r="I43" s="75" t="s">
        <v>165</v>
      </c>
    </row>
    <row r="44" spans="1:9" ht="32.1" customHeight="1">
      <c r="A44" s="51"/>
      <c r="B44" s="52" t="s">
        <v>163</v>
      </c>
      <c r="C44" s="39">
        <v>7</v>
      </c>
      <c r="D44" s="56" t="s">
        <v>164</v>
      </c>
      <c r="E44" s="40" t="s">
        <v>28</v>
      </c>
      <c r="F44" s="39" t="s">
        <v>54</v>
      </c>
      <c r="G44" s="41">
        <v>60</v>
      </c>
      <c r="H44" s="41" t="s">
        <v>98</v>
      </c>
      <c r="I44" s="75" t="s">
        <v>165</v>
      </c>
    </row>
    <row r="45" spans="1:9" ht="32.1" customHeight="1">
      <c r="A45" s="51"/>
      <c r="B45" s="52" t="s">
        <v>166</v>
      </c>
      <c r="C45" s="39">
        <v>7</v>
      </c>
      <c r="D45" s="52" t="s">
        <v>166</v>
      </c>
      <c r="E45" s="40" t="s">
        <v>122</v>
      </c>
      <c r="F45" s="39" t="s">
        <v>52</v>
      </c>
      <c r="G45" s="41">
        <v>120</v>
      </c>
      <c r="H45" s="41" t="s">
        <v>107</v>
      </c>
      <c r="I45" s="75" t="s">
        <v>108</v>
      </c>
    </row>
    <row r="46" spans="1:9" ht="32.1" customHeight="1">
      <c r="A46" s="51"/>
      <c r="B46" s="52" t="s">
        <v>167</v>
      </c>
      <c r="C46" s="39">
        <v>8</v>
      </c>
      <c r="D46" s="52" t="s">
        <v>167</v>
      </c>
      <c r="E46" s="40" t="s">
        <v>28</v>
      </c>
      <c r="F46" s="39" t="s">
        <v>49</v>
      </c>
      <c r="G46" s="41">
        <v>45</v>
      </c>
      <c r="H46" s="41" t="s">
        <v>101</v>
      </c>
      <c r="I46" s="75" t="s">
        <v>168</v>
      </c>
    </row>
    <row r="47" spans="1:9" ht="32.1" customHeight="1">
      <c r="A47" s="51"/>
      <c r="B47" s="52" t="s">
        <v>169</v>
      </c>
      <c r="C47" s="39">
        <v>8</v>
      </c>
      <c r="D47" s="56" t="s">
        <v>170</v>
      </c>
      <c r="E47" s="40" t="s">
        <v>28</v>
      </c>
      <c r="F47" s="39" t="s">
        <v>56</v>
      </c>
      <c r="G47" s="41">
        <v>60</v>
      </c>
      <c r="H47" s="41" t="s">
        <v>98</v>
      </c>
      <c r="I47" s="75" t="s">
        <v>171</v>
      </c>
    </row>
    <row r="48" spans="1:9" ht="32.1" customHeight="1">
      <c r="A48" s="51"/>
      <c r="B48" s="52" t="s">
        <v>169</v>
      </c>
      <c r="C48" s="39">
        <v>8</v>
      </c>
      <c r="D48" s="56" t="s">
        <v>170</v>
      </c>
      <c r="E48" s="40" t="s">
        <v>40</v>
      </c>
      <c r="F48" s="39" t="s">
        <v>54</v>
      </c>
      <c r="G48" s="41">
        <v>60</v>
      </c>
      <c r="H48" s="41" t="s">
        <v>98</v>
      </c>
      <c r="I48" s="75" t="s">
        <v>171</v>
      </c>
    </row>
    <row r="49" spans="1:9" ht="32.1" customHeight="1">
      <c r="A49" s="51"/>
      <c r="B49" s="52" t="s">
        <v>172</v>
      </c>
      <c r="C49" s="39">
        <v>8</v>
      </c>
      <c r="D49" s="52" t="s">
        <v>172</v>
      </c>
      <c r="E49" s="40" t="s">
        <v>40</v>
      </c>
      <c r="F49" s="39" t="s">
        <v>52</v>
      </c>
      <c r="G49" s="41">
        <v>120</v>
      </c>
      <c r="H49" s="41" t="s">
        <v>107</v>
      </c>
      <c r="I49" s="75" t="s">
        <v>108</v>
      </c>
    </row>
    <row r="50" spans="1:9" ht="32.1" customHeight="1">
      <c r="A50" s="51"/>
      <c r="B50" s="52" t="s">
        <v>173</v>
      </c>
      <c r="C50" s="39">
        <v>8</v>
      </c>
      <c r="D50" s="52" t="s">
        <v>173</v>
      </c>
      <c r="E50" s="40" t="s">
        <v>43</v>
      </c>
      <c r="F50" s="39" t="s">
        <v>174</v>
      </c>
      <c r="G50" s="41">
        <v>45</v>
      </c>
      <c r="H50" s="41" t="s">
        <v>101</v>
      </c>
      <c r="I50" s="36" t="s">
        <v>175</v>
      </c>
    </row>
    <row r="51" spans="1:9" ht="12.75" customHeight="1">
      <c r="A51" s="42"/>
      <c r="B51" s="43"/>
      <c r="C51" s="42"/>
      <c r="D51" s="44"/>
      <c r="E51" s="45"/>
      <c r="F51" s="46"/>
      <c r="G51" s="46"/>
      <c r="H51" s="42"/>
      <c r="I51" s="43"/>
    </row>
    <row r="52" spans="1:9" ht="12.75" customHeight="1">
      <c r="A52" s="42"/>
      <c r="B52" s="43"/>
      <c r="C52" s="42"/>
      <c r="D52" s="44"/>
      <c r="E52" s="45"/>
      <c r="F52" s="53" t="s">
        <v>49</v>
      </c>
      <c r="G52" s="47">
        <f t="shared" ref="G52:G58" si="0">SUMIF(F$4:F$50,F52,G$4:G$50)</f>
        <v>675</v>
      </c>
      <c r="H52" s="48">
        <f t="shared" ref="H52:H58" si="1">G52/$G$59</f>
        <v>0.22959183673469388</v>
      </c>
      <c r="I52" s="43"/>
    </row>
    <row r="53" spans="1:9" ht="12.75" customHeight="1">
      <c r="A53" s="42"/>
      <c r="B53" s="43"/>
      <c r="C53" s="42"/>
      <c r="D53" s="44"/>
      <c r="E53" s="45"/>
      <c r="F53" s="53" t="s">
        <v>52</v>
      </c>
      <c r="G53" s="47">
        <f t="shared" si="0"/>
        <v>1290</v>
      </c>
      <c r="H53" s="48">
        <f t="shared" si="1"/>
        <v>0.43877551020408162</v>
      </c>
      <c r="I53" s="43"/>
    </row>
    <row r="54" spans="1:9" ht="12.75" customHeight="1">
      <c r="A54" s="42"/>
      <c r="B54" s="43"/>
      <c r="C54" s="42"/>
      <c r="D54" s="44"/>
      <c r="E54" s="45"/>
      <c r="F54" s="53" t="s">
        <v>54</v>
      </c>
      <c r="G54" s="47">
        <f t="shared" si="0"/>
        <v>465</v>
      </c>
      <c r="H54" s="48">
        <f t="shared" si="1"/>
        <v>0.15816326530612246</v>
      </c>
      <c r="I54" s="43"/>
    </row>
    <row r="55" spans="1:9" ht="12.75" customHeight="1">
      <c r="A55" s="42"/>
      <c r="B55" s="43"/>
      <c r="C55" s="42"/>
      <c r="D55" s="44"/>
      <c r="E55" s="45"/>
      <c r="F55" s="53" t="s">
        <v>176</v>
      </c>
      <c r="G55" s="47">
        <f t="shared" si="0"/>
        <v>0</v>
      </c>
      <c r="H55" s="48">
        <f t="shared" si="1"/>
        <v>0</v>
      </c>
      <c r="I55" s="43"/>
    </row>
    <row r="56" spans="1:9" ht="12.75" customHeight="1">
      <c r="A56" s="42"/>
      <c r="B56" s="43"/>
      <c r="C56" s="42"/>
      <c r="D56" s="44"/>
      <c r="E56" s="45"/>
      <c r="F56" s="53" t="s">
        <v>174</v>
      </c>
      <c r="G56" s="47">
        <f t="shared" si="0"/>
        <v>45</v>
      </c>
      <c r="H56" s="48">
        <f t="shared" si="1"/>
        <v>1.5306122448979591E-2</v>
      </c>
      <c r="I56" s="43"/>
    </row>
    <row r="57" spans="1:9" ht="12.75" customHeight="1">
      <c r="A57" s="42"/>
      <c r="B57" s="43"/>
      <c r="C57" s="42"/>
      <c r="D57" s="44"/>
      <c r="E57" s="45"/>
      <c r="F57" s="53" t="s">
        <v>56</v>
      </c>
      <c r="G57" s="47">
        <f t="shared" si="0"/>
        <v>465</v>
      </c>
      <c r="H57" s="48">
        <f t="shared" si="1"/>
        <v>0.15816326530612246</v>
      </c>
      <c r="I57" s="43"/>
    </row>
    <row r="58" spans="1:9" ht="12.75" customHeight="1">
      <c r="A58" s="42"/>
      <c r="B58" s="43"/>
      <c r="C58" s="42"/>
      <c r="D58" s="44"/>
      <c r="E58" s="45"/>
      <c r="F58" s="53" t="s">
        <v>58</v>
      </c>
      <c r="G58" s="47">
        <f t="shared" si="0"/>
        <v>0</v>
      </c>
      <c r="H58" s="48">
        <f t="shared" si="1"/>
        <v>0</v>
      </c>
      <c r="I58" s="43"/>
    </row>
    <row r="59" spans="1:9" ht="12.75" customHeight="1">
      <c r="A59" s="42"/>
      <c r="B59" s="43"/>
      <c r="C59" s="42"/>
      <c r="D59" s="44"/>
      <c r="E59" s="45"/>
      <c r="F59" s="53" t="s">
        <v>177</v>
      </c>
      <c r="G59" s="54">
        <f>SUM(G52:G58)</f>
        <v>2940</v>
      </c>
      <c r="H59" s="48">
        <f>SUM(H52:H58)</f>
        <v>1</v>
      </c>
      <c r="I59" s="43"/>
    </row>
  </sheetData>
  <autoFilter ref="A2:I50" xr:uid="{00000000-0001-0000-0200-000000000000}">
    <filterColumn colId="0" showButton="0"/>
  </autoFilter>
  <mergeCells count="2">
    <mergeCell ref="A1:I1"/>
    <mergeCell ref="A2:B2"/>
  </mergeCells>
  <conditionalFormatting sqref="H1:H929">
    <cfRule type="cellIs" dxfId="0" priority="2" operator="equal">
      <formula>"Online"</formula>
    </cfRule>
  </conditionalFormatting>
  <dataValidations count="2">
    <dataValidation type="list" allowBlank="1" showErrorMessage="1" sqref="F3:F50" xr:uid="{00000000-0002-0000-0200-000000000000}">
      <formula1>"Concept/Lecture,Assignment/Lab,Test/Quiz,Exam,Guides/Review,Seminar/Workshop,Class Meeting,Final Mock"</formula1>
    </dataValidation>
    <dataValidation type="list" allowBlank="1" showErrorMessage="1" sqref="H3:H50" xr:uid="{00000000-0002-0000-0200-000001000000}">
      <formula1>"Online,Offline,Blended,Virtual training,Hybrid,Homework,Self Learning"</formula1>
    </dataValidation>
  </dataValidations>
  <hyperlinks>
    <hyperlink ref="I4" r:id="rId1" xr:uid="{D19580E2-F33C-DA4B-A737-33DAF1702D5C}"/>
    <hyperlink ref="I13" r:id="rId2" xr:uid="{6D9223B6-9A4B-724F-AD09-D795EB7F254C}"/>
    <hyperlink ref="I8" r:id="rId3" xr:uid="{BD7DFB77-C208-7446-A440-B79B5CCE7193}"/>
    <hyperlink ref="I17" r:id="rId4" xr:uid="{13B755C3-EA3E-044E-AFCD-D64CD636CDCC}"/>
    <hyperlink ref="I22" r:id="rId5" xr:uid="{C976E2BC-A680-FF42-BEDB-329A84CAC2BB}"/>
    <hyperlink ref="I23" r:id="rId6" xr:uid="{3673BA6A-8C9A-C64F-A8A0-58E1CD982C29}"/>
    <hyperlink ref="I24" r:id="rId7" xr:uid="{8005115A-40E1-844B-A87A-3B16FE04F529}"/>
    <hyperlink ref="I25" r:id="rId8" xr:uid="{02986196-E991-2B41-BF39-68C4B37E2F97}"/>
    <hyperlink ref="I31" r:id="rId9" xr:uid="{B44C5C98-19FF-424D-A569-551375EF4033}"/>
    <hyperlink ref="I32" r:id="rId10" xr:uid="{2B421A0C-3CD7-484E-9995-3D48F5F61883}"/>
    <hyperlink ref="I34" r:id="rId11" xr:uid="{42484798-D8A0-234D-9D9A-4DD402EBC15A}"/>
    <hyperlink ref="I35" r:id="rId12" xr:uid="{D5BA2C89-AA5A-9041-9627-B735FB1D6CD0}"/>
    <hyperlink ref="I40" r:id="rId13" xr:uid="{3DA11CE4-8F1A-0649-8297-24EF2255CC61}"/>
    <hyperlink ref="I41" r:id="rId14" xr:uid="{28B78B28-14E8-2D45-86E0-40AAE9BBAD17}"/>
    <hyperlink ref="I46" r:id="rId15" xr:uid="{DCFCED31-2690-574F-8050-59CB2852FAB0}"/>
    <hyperlink ref="I50" r:id="rId16" xr:uid="{BC3E8691-20B8-3E41-A3BC-E5E5852D9C72}"/>
    <hyperlink ref="I9" r:id="rId17" xr:uid="{57EFBAC4-5F4A-534A-BE04-396DBF008B71}"/>
    <hyperlink ref="I42" r:id="rId18" xr:uid="{FAB989B9-5DD1-CC4B-AB40-D315BB0036EF}"/>
    <hyperlink ref="I36" r:id="rId19" xr:uid="{C38C1B01-CD6A-C44D-89CE-6DD7EC27E4D8}"/>
    <hyperlink ref="I33" r:id="rId20" xr:uid="{06AFA34A-59B5-CB43-A183-872635319F39}"/>
    <hyperlink ref="I30" r:id="rId21" xr:uid="{57E6C237-04C5-1448-AA4E-9D09D858BA21}"/>
    <hyperlink ref="I26" r:id="rId22" xr:uid="{03D86E89-3DCC-7F4B-B8F5-53137B574AF4}"/>
    <hyperlink ref="I21" r:id="rId23" xr:uid="{F4E75A57-6227-1B4A-B3C3-E8639C650437}"/>
  </hyperlinks>
  <pageMargins left="0.44027777777777799" right="0.70833333333333304" top="0.47013888888888899" bottom="0.55000000000000004" header="0" footer="0"/>
  <pageSetup paperSize="9" orientation="landscape"/>
  <headerFooter>
    <oddFooter>&amp;L18e-BM/DT/FSOFT v1/1&amp;CInternal use&amp;R&amp;P/</oddFooter>
  </headerFooter>
  <legacyDrawing r:id="rId2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
  <sheetViews>
    <sheetView workbookViewId="0">
      <selection activeCell="F12" sqref="F12"/>
    </sheetView>
  </sheetViews>
  <sheetFormatPr defaultColWidth="12.42578125" defaultRowHeight="15" customHeight="1"/>
  <cols>
    <col min="1" max="1" width="3.140625" customWidth="1"/>
    <col min="2" max="2" width="14.42578125" customWidth="1"/>
    <col min="3" max="3" width="16" customWidth="1"/>
    <col min="5" max="5" width="33.28515625" customWidth="1"/>
    <col min="6" max="6" width="11.85546875" customWidth="1"/>
    <col min="7" max="26" width="9.140625" customWidth="1"/>
  </cols>
  <sheetData>
    <row r="1" spans="1:7" ht="20.25" customHeight="1">
      <c r="A1" s="120" t="s">
        <v>178</v>
      </c>
      <c r="B1" s="121"/>
      <c r="C1" s="121"/>
      <c r="D1" s="121"/>
      <c r="E1" s="121"/>
      <c r="F1" s="121"/>
      <c r="G1" s="121"/>
    </row>
    <row r="2" spans="1:7" ht="12.75" customHeight="1">
      <c r="A2" s="33"/>
      <c r="B2" s="19" t="s">
        <v>179</v>
      </c>
      <c r="C2" s="19" t="s">
        <v>18</v>
      </c>
      <c r="D2" s="19" t="s">
        <v>180</v>
      </c>
      <c r="E2" s="19" t="s">
        <v>181</v>
      </c>
      <c r="F2" s="19" t="s">
        <v>182</v>
      </c>
      <c r="G2" s="33"/>
    </row>
    <row r="3" spans="1:7" ht="12.75" customHeight="1">
      <c r="A3" s="33"/>
      <c r="B3" s="20" t="s">
        <v>183</v>
      </c>
      <c r="C3" s="21" t="s">
        <v>184</v>
      </c>
      <c r="D3" s="21" t="s">
        <v>185</v>
      </c>
      <c r="E3" s="21" t="s">
        <v>186</v>
      </c>
      <c r="F3" s="21"/>
      <c r="G3" s="33"/>
    </row>
    <row r="4" spans="1:7" ht="12.75" customHeight="1">
      <c r="A4" s="33"/>
      <c r="B4" s="22" t="s">
        <v>187</v>
      </c>
      <c r="C4" s="21"/>
      <c r="D4" s="21"/>
      <c r="E4" s="21"/>
      <c r="F4" s="21"/>
      <c r="G4" s="33"/>
    </row>
    <row r="5" spans="1:7" ht="12.75" customHeight="1">
      <c r="A5" s="33"/>
      <c r="B5" s="22" t="s">
        <v>188</v>
      </c>
      <c r="C5" s="21"/>
      <c r="D5" s="21"/>
      <c r="E5" s="21"/>
      <c r="F5" s="21"/>
      <c r="G5" s="33"/>
    </row>
    <row r="6" spans="1:7" ht="20.25" customHeight="1">
      <c r="A6" s="120" t="s">
        <v>189</v>
      </c>
      <c r="B6" s="121"/>
      <c r="C6" s="121"/>
      <c r="D6" s="121"/>
      <c r="E6" s="121"/>
      <c r="F6" s="121"/>
      <c r="G6" s="121"/>
    </row>
    <row r="7" spans="1:7" ht="12.75" customHeight="1">
      <c r="A7" s="33" t="s">
        <v>190</v>
      </c>
      <c r="B7" s="33"/>
      <c r="C7" s="33"/>
      <c r="D7" s="33"/>
      <c r="E7" s="33"/>
      <c r="F7" s="33"/>
      <c r="G7" s="33"/>
    </row>
    <row r="8" spans="1:7" ht="12.75" customHeight="1">
      <c r="A8" s="33"/>
      <c r="B8" s="33"/>
      <c r="C8" s="33"/>
      <c r="D8" s="33"/>
      <c r="E8" s="33"/>
      <c r="F8" s="33"/>
      <c r="G8" s="33"/>
    </row>
    <row r="9" spans="1:7" ht="24.75" customHeight="1">
      <c r="A9" s="33"/>
      <c r="B9" s="19" t="s">
        <v>191</v>
      </c>
      <c r="C9" s="19" t="s">
        <v>192</v>
      </c>
      <c r="D9" s="19" t="s">
        <v>193</v>
      </c>
      <c r="E9" s="19" t="s">
        <v>194</v>
      </c>
      <c r="F9" s="19" t="s">
        <v>4</v>
      </c>
      <c r="G9" s="33"/>
    </row>
    <row r="10" spans="1:7" ht="12.75" customHeight="1">
      <c r="A10" s="33"/>
      <c r="B10" s="23">
        <v>45951</v>
      </c>
      <c r="C10" s="24" t="s">
        <v>195</v>
      </c>
      <c r="D10" s="24" t="s">
        <v>196</v>
      </c>
      <c r="E10" s="25" t="s">
        <v>197</v>
      </c>
      <c r="F10" s="26">
        <v>0.1</v>
      </c>
      <c r="G10" s="33"/>
    </row>
    <row r="11" spans="1:7" ht="12.75" customHeight="1">
      <c r="A11" s="33"/>
      <c r="B11" s="23">
        <v>45955</v>
      </c>
      <c r="C11" s="24" t="s">
        <v>198</v>
      </c>
      <c r="D11" s="24" t="s">
        <v>199</v>
      </c>
      <c r="E11" s="25" t="s">
        <v>200</v>
      </c>
      <c r="F11" s="26">
        <v>0.2</v>
      </c>
      <c r="G11" s="33"/>
    </row>
  </sheetData>
  <mergeCells count="2">
    <mergeCell ref="A1:G1"/>
    <mergeCell ref="A6:G6"/>
  </mergeCells>
  <pageMargins left="0.7" right="0.40972222222222199" top="0.75" bottom="0.75" header="0" footer="0"/>
  <pageSetup paperSize="9" scale="92" orientation="portrait"/>
  <headerFooter>
    <oddFooter>&amp;L18e-BM/DT/FSOFT v1/1&amp;CInternal use&amp;R&amp;P/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3D5CB-76B1-F04D-A450-C891032F83BA}">
  <dimension ref="A1:F39"/>
  <sheetViews>
    <sheetView tabSelected="1" topLeftCell="A16" zoomScale="150" zoomScaleNormal="150" workbookViewId="0">
      <selection activeCell="C25" sqref="C25"/>
    </sheetView>
  </sheetViews>
  <sheetFormatPr defaultColWidth="11.42578125" defaultRowHeight="13.15"/>
  <cols>
    <col min="1" max="1" width="4.28515625" customWidth="1"/>
    <col min="2" max="2" width="32.85546875" customWidth="1"/>
    <col min="3" max="3" width="31.28515625" customWidth="1"/>
    <col min="4" max="4" width="21.42578125" customWidth="1"/>
    <col min="5" max="5" width="15" customWidth="1"/>
    <col min="6" max="6" width="71.28515625" customWidth="1"/>
  </cols>
  <sheetData>
    <row r="1" spans="1:6">
      <c r="A1" s="58">
        <v>1</v>
      </c>
      <c r="B1" s="59" t="s">
        <v>201</v>
      </c>
      <c r="C1" s="59"/>
      <c r="D1" s="59"/>
      <c r="E1" s="59"/>
    </row>
    <row r="2" spans="1:6">
      <c r="A2" s="60"/>
      <c r="B2" s="61"/>
      <c r="C2" s="61"/>
      <c r="D2" s="61"/>
      <c r="E2" s="61"/>
    </row>
    <row r="3" spans="1:6">
      <c r="A3" s="60"/>
      <c r="B3" s="62" t="s">
        <v>202</v>
      </c>
      <c r="C3" s="62" t="s">
        <v>203</v>
      </c>
      <c r="D3" s="62" t="s">
        <v>204</v>
      </c>
      <c r="E3" s="62" t="s">
        <v>205</v>
      </c>
      <c r="F3" s="62" t="s">
        <v>206</v>
      </c>
    </row>
    <row r="4" spans="1:6">
      <c r="A4" s="60"/>
      <c r="B4" s="77" t="s">
        <v>207</v>
      </c>
      <c r="C4" s="77" t="s">
        <v>208</v>
      </c>
      <c r="D4" s="77" t="s">
        <v>209</v>
      </c>
      <c r="E4" s="66">
        <v>0.3</v>
      </c>
      <c r="F4" s="77" t="s">
        <v>210</v>
      </c>
    </row>
    <row r="5" spans="1:6">
      <c r="A5" s="60"/>
      <c r="B5" s="64" t="s">
        <v>211</v>
      </c>
      <c r="C5" s="64" t="s">
        <v>212</v>
      </c>
      <c r="D5" s="64" t="s">
        <v>213</v>
      </c>
      <c r="E5" s="66">
        <v>1.5</v>
      </c>
      <c r="F5" s="64" t="s">
        <v>214</v>
      </c>
    </row>
    <row r="6" spans="1:6">
      <c r="A6" s="60"/>
      <c r="B6" s="64" t="s">
        <v>215</v>
      </c>
      <c r="C6" s="64" t="s">
        <v>216</v>
      </c>
      <c r="D6" s="64" t="s">
        <v>217</v>
      </c>
      <c r="E6" s="66">
        <v>0.2</v>
      </c>
      <c r="F6" s="64" t="s">
        <v>218</v>
      </c>
    </row>
    <row r="7" spans="1:6">
      <c r="A7" s="60"/>
      <c r="B7" s="64" t="s">
        <v>219</v>
      </c>
      <c r="C7" s="64" t="s">
        <v>220</v>
      </c>
      <c r="D7" s="64" t="s">
        <v>221</v>
      </c>
      <c r="E7" s="66">
        <v>0</v>
      </c>
      <c r="F7" s="64" t="s">
        <v>222</v>
      </c>
    </row>
    <row r="8" spans="1:6">
      <c r="A8" s="60"/>
      <c r="B8" s="64" t="s">
        <v>223</v>
      </c>
      <c r="C8" s="64" t="s">
        <v>224</v>
      </c>
      <c r="D8" s="64" t="s">
        <v>221</v>
      </c>
      <c r="E8" s="66">
        <v>0</v>
      </c>
      <c r="F8" s="64" t="s">
        <v>225</v>
      </c>
    </row>
    <row r="9" spans="1:6">
      <c r="A9" s="60"/>
      <c r="B9" s="64" t="s">
        <v>226</v>
      </c>
      <c r="C9" s="64" t="s">
        <v>227</v>
      </c>
      <c r="D9" s="64" t="s">
        <v>221</v>
      </c>
      <c r="E9" s="66">
        <v>0</v>
      </c>
      <c r="F9" s="64" t="s">
        <v>228</v>
      </c>
    </row>
    <row r="10" spans="1:6">
      <c r="A10" s="60"/>
      <c r="B10" s="64" t="s">
        <v>229</v>
      </c>
      <c r="C10" s="64" t="s">
        <v>230</v>
      </c>
      <c r="D10" s="64" t="s">
        <v>221</v>
      </c>
      <c r="E10" s="66">
        <v>0</v>
      </c>
      <c r="F10" s="64" t="s">
        <v>231</v>
      </c>
    </row>
    <row r="11" spans="1:6">
      <c r="A11" s="60"/>
      <c r="B11" s="64" t="s">
        <v>232</v>
      </c>
      <c r="C11" s="64" t="s">
        <v>233</v>
      </c>
      <c r="D11" s="64" t="s">
        <v>234</v>
      </c>
      <c r="E11" s="66">
        <v>3</v>
      </c>
      <c r="F11" s="64" t="s">
        <v>235</v>
      </c>
    </row>
    <row r="12" spans="1:6">
      <c r="A12" s="60"/>
      <c r="B12" s="64" t="s">
        <v>236</v>
      </c>
      <c r="C12" s="64" t="s">
        <v>233</v>
      </c>
      <c r="D12" s="64" t="s">
        <v>237</v>
      </c>
      <c r="E12" s="66">
        <v>2</v>
      </c>
      <c r="F12" s="64" t="s">
        <v>238</v>
      </c>
    </row>
    <row r="13" spans="1:6">
      <c r="A13" s="60"/>
      <c r="B13" s="64" t="s">
        <v>239</v>
      </c>
      <c r="C13" s="64" t="s">
        <v>240</v>
      </c>
      <c r="D13" s="64" t="s">
        <v>241</v>
      </c>
      <c r="E13" s="66">
        <v>0</v>
      </c>
      <c r="F13" s="64" t="s">
        <v>242</v>
      </c>
    </row>
    <row r="14" spans="1:6">
      <c r="A14" s="60"/>
      <c r="B14" s="64" t="s">
        <v>243</v>
      </c>
      <c r="C14" s="64" t="s">
        <v>244</v>
      </c>
      <c r="D14" s="64" t="s">
        <v>245</v>
      </c>
      <c r="E14" s="66">
        <v>0.4</v>
      </c>
      <c r="F14" s="64" t="s">
        <v>246</v>
      </c>
    </row>
    <row r="15" spans="1:6">
      <c r="A15" s="60"/>
      <c r="B15" s="64" t="s">
        <v>247</v>
      </c>
      <c r="C15" s="64" t="s">
        <v>248</v>
      </c>
      <c r="D15" s="64" t="s">
        <v>249</v>
      </c>
      <c r="E15" s="66">
        <v>0</v>
      </c>
      <c r="F15" s="64" t="s">
        <v>250</v>
      </c>
    </row>
    <row r="16" spans="1:6">
      <c r="A16" s="60"/>
      <c r="B16" s="64" t="s">
        <v>251</v>
      </c>
      <c r="C16" s="64" t="s">
        <v>252</v>
      </c>
      <c r="D16" s="64" t="s">
        <v>253</v>
      </c>
      <c r="E16" s="66">
        <v>0</v>
      </c>
      <c r="F16" s="64" t="s">
        <v>254</v>
      </c>
    </row>
    <row r="17" spans="1:6">
      <c r="A17" s="60"/>
      <c r="B17" s="64" t="s">
        <v>255</v>
      </c>
      <c r="C17" s="64" t="s">
        <v>256</v>
      </c>
      <c r="D17" s="64" t="s">
        <v>257</v>
      </c>
      <c r="E17" s="66">
        <v>0.01</v>
      </c>
      <c r="F17" s="64" t="s">
        <v>258</v>
      </c>
    </row>
    <row r="18" spans="1:6">
      <c r="A18" s="60"/>
      <c r="B18" s="64" t="s">
        <v>259</v>
      </c>
      <c r="C18" s="64" t="s">
        <v>260</v>
      </c>
      <c r="D18" s="64" t="s">
        <v>253</v>
      </c>
      <c r="E18" s="66">
        <v>0</v>
      </c>
      <c r="F18" s="64" t="s">
        <v>261</v>
      </c>
    </row>
    <row r="19" spans="1:6">
      <c r="A19" s="60"/>
      <c r="B19" s="67" t="s">
        <v>177</v>
      </c>
      <c r="C19" s="67"/>
      <c r="D19" s="67"/>
      <c r="E19" s="68">
        <f>SUM(E4:E18)</f>
        <v>7.41</v>
      </c>
      <c r="F19" s="64"/>
    </row>
    <row r="20" spans="1:6">
      <c r="A20" s="60"/>
      <c r="B20" s="67" t="s">
        <v>262</v>
      </c>
      <c r="C20" s="67"/>
      <c r="D20" s="67"/>
      <c r="E20" s="68">
        <v>10</v>
      </c>
      <c r="F20" s="64"/>
    </row>
    <row r="21" spans="1:6">
      <c r="B21" s="78" t="s">
        <v>263</v>
      </c>
      <c r="C21" s="78"/>
      <c r="D21" s="78"/>
      <c r="E21" s="82">
        <v>33</v>
      </c>
    </row>
    <row r="22" spans="1:6">
      <c r="A22" s="60"/>
      <c r="B22" s="79" t="s">
        <v>264</v>
      </c>
      <c r="C22" s="79"/>
      <c r="D22" s="79"/>
      <c r="E22" s="83">
        <v>1</v>
      </c>
    </row>
    <row r="23" spans="1:6">
      <c r="A23" s="60"/>
      <c r="B23" s="80" t="s">
        <v>265</v>
      </c>
      <c r="C23" s="80"/>
      <c r="D23" s="80"/>
      <c r="E23" s="81">
        <f>E20*(E21+E22)</f>
        <v>340</v>
      </c>
    </row>
    <row r="24" spans="1:6">
      <c r="A24" s="60"/>
      <c r="B24" s="61"/>
      <c r="C24" s="61"/>
      <c r="D24" s="61"/>
      <c r="E24" s="61"/>
    </row>
    <row r="25" spans="1:6">
      <c r="A25" s="58">
        <v>2</v>
      </c>
      <c r="B25" s="59" t="s">
        <v>266</v>
      </c>
      <c r="C25" s="59"/>
      <c r="D25" s="59"/>
      <c r="E25" s="59"/>
    </row>
    <row r="26" spans="1:6">
      <c r="A26" s="60"/>
      <c r="B26" s="61"/>
      <c r="C26" s="61"/>
      <c r="D26" s="61"/>
      <c r="E26" s="61"/>
    </row>
    <row r="27" spans="1:6">
      <c r="A27" s="58" t="s">
        <v>267</v>
      </c>
      <c r="B27" s="69" t="s">
        <v>268</v>
      </c>
      <c r="C27" s="61"/>
      <c r="D27" s="61"/>
      <c r="E27" s="61"/>
    </row>
    <row r="28" spans="1:6">
      <c r="A28" s="60"/>
      <c r="B28" s="61" t="s">
        <v>269</v>
      </c>
      <c r="C28" s="61"/>
      <c r="D28" s="61"/>
      <c r="E28" s="61"/>
    </row>
    <row r="29" spans="1:6">
      <c r="A29" s="60"/>
      <c r="B29" s="61"/>
      <c r="C29" s="61"/>
      <c r="D29" s="61"/>
      <c r="E29" s="61"/>
    </row>
    <row r="30" spans="1:6">
      <c r="A30" s="58" t="s">
        <v>270</v>
      </c>
      <c r="B30" s="59" t="s">
        <v>271</v>
      </c>
      <c r="C30" s="61"/>
      <c r="D30" s="61"/>
      <c r="E30" s="61"/>
    </row>
    <row r="31" spans="1:6">
      <c r="A31" s="60"/>
      <c r="B31" s="61" t="s">
        <v>272</v>
      </c>
      <c r="C31" s="61"/>
      <c r="D31" s="61"/>
      <c r="E31" s="61"/>
    </row>
    <row r="32" spans="1:6">
      <c r="A32" s="60"/>
      <c r="B32" s="61"/>
      <c r="C32" s="61"/>
      <c r="D32" s="61"/>
      <c r="E32" s="61"/>
    </row>
    <row r="33" spans="1:5">
      <c r="A33" s="58" t="s">
        <v>273</v>
      </c>
      <c r="B33" s="59" t="s">
        <v>274</v>
      </c>
      <c r="C33" s="61"/>
      <c r="D33" s="61"/>
      <c r="E33" s="61"/>
    </row>
    <row r="34" spans="1:5">
      <c r="A34" s="60"/>
      <c r="B34" s="61" t="s">
        <v>275</v>
      </c>
      <c r="C34" s="61"/>
      <c r="D34" s="61"/>
      <c r="E34" s="61"/>
    </row>
    <row r="35" spans="1:5">
      <c r="A35" s="60"/>
      <c r="B35" s="61"/>
      <c r="C35" s="61"/>
      <c r="D35" s="61"/>
      <c r="E35" s="61"/>
    </row>
    <row r="36" spans="1:5">
      <c r="A36" s="65" t="s">
        <v>276</v>
      </c>
      <c r="B36" s="63" t="s">
        <v>277</v>
      </c>
      <c r="C36" s="61"/>
      <c r="D36" s="61"/>
      <c r="E36" s="61"/>
    </row>
    <row r="37" spans="1:5">
      <c r="A37" s="60"/>
      <c r="B37" s="61" t="s">
        <v>278</v>
      </c>
      <c r="C37" s="61"/>
      <c r="D37" s="61"/>
      <c r="E37" s="61"/>
    </row>
    <row r="38" spans="1:5">
      <c r="A38" s="60"/>
      <c r="B38" s="61"/>
      <c r="C38" s="61"/>
      <c r="D38" s="61"/>
      <c r="E38" s="61"/>
    </row>
    <row r="39" spans="1:5">
      <c r="A39" s="60"/>
      <c r="B39" s="61"/>
      <c r="C39" s="61"/>
      <c r="D39" s="61"/>
      <c r="E39" s="6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5"/>
  <sheetViews>
    <sheetView workbookViewId="0"/>
  </sheetViews>
  <sheetFormatPr defaultColWidth="12.42578125" defaultRowHeight="15" customHeight="1"/>
  <cols>
    <col min="1" max="256" width="8.42578125" customWidth="1"/>
  </cols>
  <sheetData>
    <row r="1" spans="1:256" ht="12.75" customHeight="1">
      <c r="A1" s="1" t="e">
        <f>IF(Syllabus!1:1,"AAAAAH7b/wA=",0)</f>
        <v>#VALUE!</v>
      </c>
      <c r="B1" s="1" t="e">
        <f>AND(Syllabus!#REF!,"AAAAAH7b/wE=")</f>
        <v>#REF!</v>
      </c>
      <c r="C1" s="1" t="e">
        <f>AND(Syllabus!B1,"AAAAAH7b/wI=")</f>
        <v>#VALUE!</v>
      </c>
      <c r="D1" s="1" t="e">
        <f>AND(Syllabus!C1,"AAAAAH7b/wM=")</f>
        <v>#VALUE!</v>
      </c>
      <c r="E1" s="1" t="e">
        <f>AND(Syllabus!D1,"AAAAAH7b/wQ=")</f>
        <v>#VALUE!</v>
      </c>
      <c r="F1" s="1" t="e">
        <f>AND(Syllabus!E1,"AAAAAH7b/wU=")</f>
        <v>#VALUE!</v>
      </c>
      <c r="G1" s="1" t="e">
        <f>AND(Syllabus!F1,"AAAAAH7b/wY=")</f>
        <v>#VALUE!</v>
      </c>
      <c r="H1" s="1" t="e">
        <f>AND(Syllabus!G1,"AAAAAH7b/wc=")</f>
        <v>#VALUE!</v>
      </c>
      <c r="I1" s="1" t="e">
        <f>IF(Syllabus!#REF!,"AAAAAH7b/wg=",0)</f>
        <v>#REF!</v>
      </c>
      <c r="J1" s="1" t="e">
        <f>AND(Syllabus!#REF!,"AAAAAH7b/wk=")</f>
        <v>#REF!</v>
      </c>
      <c r="K1" s="1" t="e">
        <f>AND(Syllabus!#REF!,"AAAAAH7b/wo=")</f>
        <v>#REF!</v>
      </c>
      <c r="L1" s="1" t="e">
        <f>AND(Syllabus!#REF!,"AAAAAH7b/ws=")</f>
        <v>#REF!</v>
      </c>
      <c r="M1" s="1" t="e">
        <f>AND(Syllabus!#REF!,"AAAAAH7b/ww=")</f>
        <v>#REF!</v>
      </c>
      <c r="N1" s="1" t="e">
        <f>AND(Syllabus!#REF!,"AAAAAH7b/w0=")</f>
        <v>#REF!</v>
      </c>
      <c r="O1" s="1" t="e">
        <f>AND(Syllabus!#REF!,"AAAAAH7b/w4=")</f>
        <v>#REF!</v>
      </c>
      <c r="P1" s="1" t="e">
        <f>AND(Syllabus!#REF!,"AAAAAH7b/w8=")</f>
        <v>#REF!</v>
      </c>
      <c r="Q1" s="1">
        <f>IF(Syllabus!2:2,"AAAAAH7b/xA=",0)</f>
        <v>0</v>
      </c>
      <c r="R1" s="1" t="b">
        <f>AND(Syllabus!A2,"AAAAAH7b/xE=")</f>
        <v>1</v>
      </c>
      <c r="S1" s="1" t="e">
        <f>AND(Syllabus!B2,"AAAAAH7b/xI=")</f>
        <v>#VALUE!</v>
      </c>
      <c r="T1" s="1" t="e">
        <f>AND(Syllabus!C2,"AAAAAH7b/xM=")</f>
        <v>#VALUE!</v>
      </c>
      <c r="U1" s="1" t="e">
        <f>AND(Syllabus!D2,"AAAAAH7b/xQ=")</f>
        <v>#VALUE!</v>
      </c>
      <c r="V1" s="1" t="e">
        <f>AND(Syllabus!E2,"AAAAAH7b/xU=")</f>
        <v>#VALUE!</v>
      </c>
      <c r="W1" s="1" t="e">
        <f>AND(Syllabus!F2,"AAAAAH7b/xY=")</f>
        <v>#VALUE!</v>
      </c>
      <c r="X1" s="1" t="e">
        <f>AND(Syllabus!G2,"AAAAAH7b/xc=")</f>
        <v>#VALUE!</v>
      </c>
      <c r="Y1" s="1">
        <f>IF(Syllabus!4:4,"AAAAAH7b/xg=",0)</f>
        <v>0</v>
      </c>
      <c r="Z1" s="1" t="b">
        <f>AND(Syllabus!A4,"AAAAAH7b/xk=")</f>
        <v>1</v>
      </c>
      <c r="AA1" s="1" t="e">
        <f>AND(Syllabus!B4,"AAAAAH7b/xo=")</f>
        <v>#VALUE!</v>
      </c>
      <c r="AB1" s="1" t="e">
        <f>AND(Syllabus!C4,"AAAAAH7b/xs=")</f>
        <v>#VALUE!</v>
      </c>
      <c r="AC1" s="1" t="e">
        <f>AND(Syllabus!D4,"AAAAAH7b/xw=")</f>
        <v>#VALUE!</v>
      </c>
      <c r="AD1" s="1" t="e">
        <f>AND(Syllabus!E4,"AAAAAH7b/x0=")</f>
        <v>#VALUE!</v>
      </c>
      <c r="AE1" s="1" t="e">
        <f>AND(Syllabus!F4,"AAAAAH7b/x4=")</f>
        <v>#VALUE!</v>
      </c>
      <c r="AF1" s="1" t="e">
        <f>AND(Syllabus!G4,"AAAAAH7b/x8=")</f>
        <v>#VALUE!</v>
      </c>
      <c r="AG1" s="1">
        <f>IF(Syllabus!5:5,"AAAAAH7b/yA=",0)</f>
        <v>0</v>
      </c>
      <c r="AH1" s="1" t="b">
        <f>AND(Syllabus!A5,"AAAAAH7b/yE=")</f>
        <v>1</v>
      </c>
      <c r="AI1" s="1" t="e">
        <f>AND(Syllabus!B5,"AAAAAH7b/yI=")</f>
        <v>#VALUE!</v>
      </c>
      <c r="AJ1" s="1" t="b">
        <f>AND(Syllabus!C5,"AAAAAH7b/yM=")</f>
        <v>1</v>
      </c>
      <c r="AK1" s="1" t="e">
        <f>AND(Syllabus!D5,"AAAAAH7b/yQ=")</f>
        <v>#VALUE!</v>
      </c>
      <c r="AL1" s="1" t="e">
        <f>AND(Syllabus!E5,"AAAAAH7b/yU=")</f>
        <v>#VALUE!</v>
      </c>
      <c r="AM1" s="1" t="e">
        <f>AND(Syllabus!F5,"AAAAAH7b/yY=")</f>
        <v>#VALUE!</v>
      </c>
      <c r="AN1" s="1" t="e">
        <f>AND(Syllabus!G5,"AAAAAH7b/yc=")</f>
        <v>#VALUE!</v>
      </c>
      <c r="AO1" s="1">
        <f>IF(Syllabus!6:6,"AAAAAH7b/yg=",0)</f>
        <v>0</v>
      </c>
      <c r="AP1" s="1" t="b">
        <f>AND(Syllabus!A6,"AAAAAH7b/yk=")</f>
        <v>1</v>
      </c>
      <c r="AQ1" s="1" t="e">
        <f>AND(Syllabus!B6,"AAAAAH7b/yo=")</f>
        <v>#VALUE!</v>
      </c>
      <c r="AR1" s="1" t="e">
        <f>AND(Syllabus!C6,"AAAAAH7b/ys=")</f>
        <v>#VALUE!</v>
      </c>
      <c r="AS1" s="1" t="e">
        <f>AND(Syllabus!D6,"AAAAAH7b/yw=")</f>
        <v>#VALUE!</v>
      </c>
      <c r="AT1" s="1" t="e">
        <f>AND(Syllabus!E6,"AAAAAH7b/y0=")</f>
        <v>#VALUE!</v>
      </c>
      <c r="AU1" s="1" t="e">
        <f>AND(Syllabus!F6,"AAAAAH7b/y4=")</f>
        <v>#VALUE!</v>
      </c>
      <c r="AV1" s="1" t="e">
        <f>AND(Syllabus!G6,"AAAAAH7b/y8=")</f>
        <v>#VALUE!</v>
      </c>
      <c r="AW1" s="1">
        <f>IF(Syllabus!7:7,"AAAAAH7b/zA=",0)</f>
        <v>0</v>
      </c>
      <c r="AX1" s="1" t="b">
        <f>AND(Syllabus!A7,"AAAAAH7b/zE=")</f>
        <v>1</v>
      </c>
      <c r="AY1" s="1" t="e">
        <f>AND(Syllabus!B7,"AAAAAH7b/zI=")</f>
        <v>#VALUE!</v>
      </c>
      <c r="AZ1" s="1" t="e">
        <f>AND(Syllabus!C7,"AAAAAH7b/zM=")</f>
        <v>#VALUE!</v>
      </c>
      <c r="BA1" s="1" t="e">
        <f>AND(Syllabus!D7,"AAAAAH7b/zQ=")</f>
        <v>#VALUE!</v>
      </c>
      <c r="BB1" s="1" t="e">
        <f>AND(Syllabus!E7,"AAAAAH7b/zU=")</f>
        <v>#VALUE!</v>
      </c>
      <c r="BC1" s="1" t="e">
        <f>AND(Syllabus!F7,"AAAAAH7b/zY=")</f>
        <v>#VALUE!</v>
      </c>
      <c r="BD1" s="1" t="e">
        <f>AND(Syllabus!G7,"AAAAAH7b/zc=")</f>
        <v>#VALUE!</v>
      </c>
      <c r="BE1" s="1">
        <f>IF(Syllabus!8:8,"AAAAAH7b/zg=",0)</f>
        <v>0</v>
      </c>
      <c r="BF1" s="1" t="e">
        <f>AND(Syllabus!A8,"AAAAAH7b/zk=")</f>
        <v>#VALUE!</v>
      </c>
      <c r="BG1" s="1" t="e">
        <f>AND(Syllabus!B8,"AAAAAH7b/zo=")</f>
        <v>#VALUE!</v>
      </c>
      <c r="BH1" s="1" t="e">
        <f>AND(Syllabus!C8,"AAAAAH7b/zs=")</f>
        <v>#VALUE!</v>
      </c>
      <c r="BI1" s="1" t="e">
        <f>AND(Syllabus!D8,"AAAAAH7b/zw=")</f>
        <v>#VALUE!</v>
      </c>
      <c r="BJ1" s="1" t="e">
        <f>AND(Syllabus!E8,"AAAAAH7b/z0=")</f>
        <v>#VALUE!</v>
      </c>
      <c r="BK1" s="1" t="e">
        <f>AND(Syllabus!F8,"AAAAAH7b/z4=")</f>
        <v>#VALUE!</v>
      </c>
      <c r="BL1" s="1" t="e">
        <f>AND(Syllabus!G8,"AAAAAH7b/z8=")</f>
        <v>#VALUE!</v>
      </c>
      <c r="BM1" s="1">
        <f>IF(Syllabus!9:9,"AAAAAH7b/0A=",0)</f>
        <v>0</v>
      </c>
      <c r="BN1" s="1" t="e">
        <f>AND(Syllabus!A9,"AAAAAH7b/0E=")</f>
        <v>#VALUE!</v>
      </c>
      <c r="BO1" s="1" t="e">
        <f>AND(Syllabus!B9,"AAAAAH7b/0I=")</f>
        <v>#VALUE!</v>
      </c>
      <c r="BP1" s="1" t="e">
        <f>AND(Syllabus!C9,"AAAAAH7b/0M=")</f>
        <v>#VALUE!</v>
      </c>
      <c r="BQ1" s="1" t="e">
        <f>AND(Syllabus!D9,"AAAAAH7b/0Q=")</f>
        <v>#VALUE!</v>
      </c>
      <c r="BR1" s="1" t="e">
        <f>AND(Syllabus!E9,"AAAAAH7b/0U=")</f>
        <v>#VALUE!</v>
      </c>
      <c r="BS1" s="1" t="e">
        <f>AND(Syllabus!F9,"AAAAAH7b/0Y=")</f>
        <v>#VALUE!</v>
      </c>
      <c r="BT1" s="1" t="e">
        <f>AND(Syllabus!G9,"AAAAAH7b/0c=")</f>
        <v>#VALUE!</v>
      </c>
      <c r="BU1" s="1" t="e">
        <f>IF(_xlfn.SINGLE(Syllabus!#REF!),"AAAAAH7b/0g=",0)</f>
        <v>#REF!</v>
      </c>
      <c r="BV1" s="1" t="e">
        <f>AND(Syllabus!#REF!,"AAAAAH7b/0k=")</f>
        <v>#REF!</v>
      </c>
      <c r="BW1" s="1" t="e">
        <f>AND(Syllabus!#REF!,"AAAAAH7b/0o=")</f>
        <v>#REF!</v>
      </c>
      <c r="BX1" s="1" t="e">
        <f>AND(Syllabus!#REF!,"AAAAAH7b/0s=")</f>
        <v>#REF!</v>
      </c>
      <c r="BY1" s="1" t="e">
        <f>AND(Syllabus!#REF!,"AAAAAH7b/0w=")</f>
        <v>#REF!</v>
      </c>
      <c r="BZ1" s="1" t="e">
        <f>AND(Syllabus!#REF!,"AAAAAH7b/00=")</f>
        <v>#REF!</v>
      </c>
      <c r="CA1" s="1" t="e">
        <f>AND(Syllabus!#REF!,"AAAAAH7b/04=")</f>
        <v>#REF!</v>
      </c>
      <c r="CB1" s="1" t="e">
        <f>AND(Syllabus!#REF!,"AAAAAH7b/08=")</f>
        <v>#REF!</v>
      </c>
      <c r="CC1" s="1" t="e">
        <f>IF(_xlfn.SINGLE(Syllabus!#REF!),"AAAAAH7b/1A=",0)</f>
        <v>#REF!</v>
      </c>
      <c r="CD1" s="1" t="e">
        <f>AND(Syllabus!#REF!,"AAAAAH7b/1E=")</f>
        <v>#REF!</v>
      </c>
      <c r="CE1" s="1" t="e">
        <f>AND(Syllabus!#REF!,"AAAAAH7b/1I=")</f>
        <v>#REF!</v>
      </c>
      <c r="CF1" s="1" t="e">
        <f>AND(Syllabus!#REF!,"AAAAAH7b/1M=")</f>
        <v>#REF!</v>
      </c>
      <c r="CG1" s="1" t="e">
        <f>AND(Syllabus!#REF!,"AAAAAH7b/1Q=")</f>
        <v>#REF!</v>
      </c>
      <c r="CH1" s="1" t="e">
        <f>AND(Syllabus!#REF!,"AAAAAH7b/1U=")</f>
        <v>#REF!</v>
      </c>
      <c r="CI1" s="1" t="e">
        <f>AND(Syllabus!#REF!,"AAAAAH7b/1Y=")</f>
        <v>#REF!</v>
      </c>
      <c r="CJ1" s="1" t="e">
        <f>AND(Syllabus!#REF!,"AAAAAH7b/1c=")</f>
        <v>#REF!</v>
      </c>
      <c r="CK1" s="1">
        <f>IF(Syllabus!18:18,"AAAAAH7b/1g=",0)</f>
        <v>0</v>
      </c>
      <c r="CL1" s="1" t="b">
        <f>AND(Syllabus!A18,"AAAAAH7b/1k=")</f>
        <v>1</v>
      </c>
      <c r="CM1" s="1" t="e">
        <f>AND(Syllabus!B18,"AAAAAH7b/1o=")</f>
        <v>#VALUE!</v>
      </c>
      <c r="CN1" s="1" t="e">
        <f>AND(Syllabus!C18,"AAAAAH7b/1s=")</f>
        <v>#VALUE!</v>
      </c>
      <c r="CO1" s="1" t="e">
        <f>AND(Syllabus!D18,"AAAAAH7b/1w=")</f>
        <v>#VALUE!</v>
      </c>
      <c r="CP1" s="1" t="e">
        <f>AND(Syllabus!E18,"AAAAAH7b/10=")</f>
        <v>#VALUE!</v>
      </c>
      <c r="CQ1" s="1" t="e">
        <f>AND(Syllabus!F18,"AAAAAH7b/14=")</f>
        <v>#VALUE!</v>
      </c>
      <c r="CR1" s="1" t="e">
        <f>AND(Syllabus!G18,"AAAAAH7b/18=")</f>
        <v>#VALUE!</v>
      </c>
      <c r="CS1" s="1">
        <f>IF(Syllabus!19:19,"AAAAAH7b/2A=",0)</f>
        <v>0</v>
      </c>
      <c r="CT1" s="1" t="b">
        <f>AND(Syllabus!A19,"AAAAAH7b/2E=")</f>
        <v>1</v>
      </c>
      <c r="CU1" s="1" t="e">
        <f>AND(Syllabus!B19,"AAAAAH7b/2I=")</f>
        <v>#VALUE!</v>
      </c>
      <c r="CV1" s="1" t="e">
        <f>AND(Syllabus!C19,"AAAAAH7b/2M=")</f>
        <v>#VALUE!</v>
      </c>
      <c r="CW1" s="1" t="b">
        <f>AND(Syllabus!D19,"AAAAAH7b/2Q=")</f>
        <v>1</v>
      </c>
      <c r="CX1" s="1" t="e">
        <f>AND(Syllabus!E19,"AAAAAH7b/2U=")</f>
        <v>#VALUE!</v>
      </c>
      <c r="CY1" s="1" t="e">
        <f>AND(Syllabus!F19,"AAAAAH7b/2Y=")</f>
        <v>#VALUE!</v>
      </c>
      <c r="CZ1" s="1" t="e">
        <f>AND(Syllabus!G19,"AAAAAH7b/2c=")</f>
        <v>#VALUE!</v>
      </c>
      <c r="DA1" s="1">
        <f>IF(Syllabus!20:20,"AAAAAH7b/2g=",0)</f>
        <v>0</v>
      </c>
      <c r="DB1" s="1" t="e">
        <f>AND(Syllabus!A20,"AAAAAH7b/2k=")</f>
        <v>#VALUE!</v>
      </c>
      <c r="DC1" s="1" t="e">
        <f>AND(Syllabus!B20,"AAAAAH7b/2o=")</f>
        <v>#VALUE!</v>
      </c>
      <c r="DD1" s="1" t="e">
        <f>AND(Syllabus!C20,"AAAAAH7b/2s=")</f>
        <v>#VALUE!</v>
      </c>
      <c r="DE1" s="1" t="b">
        <f>AND(Syllabus!D20,"AAAAAH7b/2w=")</f>
        <v>1</v>
      </c>
      <c r="DF1" s="1" t="e">
        <f>AND(Syllabus!E20,"AAAAAH7b/20=")</f>
        <v>#VALUE!</v>
      </c>
      <c r="DG1" s="1" t="e">
        <f>AND(Syllabus!F20,"AAAAAH7b/24=")</f>
        <v>#VALUE!</v>
      </c>
      <c r="DH1" s="1" t="e">
        <f>AND(Syllabus!G20,"AAAAAH7b/28=")</f>
        <v>#VALUE!</v>
      </c>
      <c r="DI1" s="1">
        <f>IF(Syllabus!21:21,"AAAAAH7b/3A=",0)</f>
        <v>0</v>
      </c>
      <c r="DJ1" s="1" t="e">
        <f>AND(Syllabus!A21,"AAAAAH7b/3E=")</f>
        <v>#VALUE!</v>
      </c>
      <c r="DK1" s="1" t="e">
        <f>AND(Syllabus!B21,"AAAAAH7b/3I=")</f>
        <v>#VALUE!</v>
      </c>
      <c r="DL1" s="1" t="e">
        <f>AND(Syllabus!C21,"AAAAAH7b/3M=")</f>
        <v>#VALUE!</v>
      </c>
      <c r="DM1" s="1" t="b">
        <f>AND(Syllabus!D21,"AAAAAH7b/3Q=")</f>
        <v>1</v>
      </c>
      <c r="DN1" s="1" t="e">
        <f>AND(Syllabus!E21,"AAAAAH7b/3U=")</f>
        <v>#VALUE!</v>
      </c>
      <c r="DO1" s="1" t="e">
        <f>AND(Syllabus!F21,"AAAAAH7b/3Y=")</f>
        <v>#VALUE!</v>
      </c>
      <c r="DP1" s="1" t="e">
        <f>AND(Syllabus!G21,"AAAAAH7b/3c=")</f>
        <v>#VALUE!</v>
      </c>
      <c r="DQ1" s="1">
        <f>IF(Syllabus!24:24,"AAAAAH7b/3g=",0)</f>
        <v>0</v>
      </c>
      <c r="DR1" s="1" t="e">
        <f>AND(Syllabus!A24,"AAAAAH7b/3k=")</f>
        <v>#VALUE!</v>
      </c>
      <c r="DS1" s="1" t="e">
        <f>AND(Syllabus!B24,"AAAAAH7b/3o=")</f>
        <v>#VALUE!</v>
      </c>
      <c r="DT1" s="1" t="e">
        <f>AND(Syllabus!C24,"AAAAAH7b/3s=")</f>
        <v>#VALUE!</v>
      </c>
      <c r="DU1" s="1" t="b">
        <f>AND(Syllabus!D24,"AAAAAH7b/3w=")</f>
        <v>0</v>
      </c>
      <c r="DV1" s="1" t="e">
        <f>AND(Syllabus!E24,"AAAAAH7b/30=")</f>
        <v>#VALUE!</v>
      </c>
      <c r="DW1" s="1" t="e">
        <f>AND(Syllabus!F24,"AAAAAH7b/34=")</f>
        <v>#VALUE!</v>
      </c>
      <c r="DX1" s="1" t="e">
        <f>AND(Syllabus!G24,"AAAAAH7b/38=")</f>
        <v>#VALUE!</v>
      </c>
      <c r="DY1" s="1">
        <f>IF(Syllabus!25:25,"AAAAAH7b/4A=",0)</f>
        <v>0</v>
      </c>
      <c r="DZ1" s="1" t="e">
        <f>AND(Syllabus!A25,"AAAAAH7b/4E=")</f>
        <v>#VALUE!</v>
      </c>
      <c r="EA1" s="1" t="e">
        <f>AND(Syllabus!B25,"AAAAAH7b/4I=")</f>
        <v>#VALUE!</v>
      </c>
      <c r="EB1" s="1" t="e">
        <f>AND(Syllabus!C25,"AAAAAH7b/4M=")</f>
        <v>#VALUE!</v>
      </c>
      <c r="EC1" s="1" t="b">
        <f>AND(Syllabus!D25,"AAAAAH7b/4Q=")</f>
        <v>1</v>
      </c>
      <c r="ED1" s="1" t="e">
        <f>AND(Syllabus!E25,"AAAAAH7b/4U=")</f>
        <v>#VALUE!</v>
      </c>
      <c r="EE1" s="1" t="e">
        <f>AND(Syllabus!F25,"AAAAAH7b/4Y=")</f>
        <v>#VALUE!</v>
      </c>
      <c r="EF1" s="1" t="e">
        <f>AND(Syllabus!G25,"AAAAAH7b/4c=")</f>
        <v>#VALUE!</v>
      </c>
      <c r="EG1" s="1">
        <f>IF(Syllabus!26:26,"AAAAAH7b/4g=",0)</f>
        <v>0</v>
      </c>
      <c r="EH1" s="1" t="b">
        <f>AND(Syllabus!A26,"AAAAAH7b/4k=")</f>
        <v>1</v>
      </c>
      <c r="EI1" s="1" t="e">
        <f>AND(Syllabus!B26,"AAAAAH7b/4o=")</f>
        <v>#VALUE!</v>
      </c>
      <c r="EJ1" s="1" t="e">
        <f>AND(Syllabus!C26,"AAAAAH7b/4s=")</f>
        <v>#VALUE!</v>
      </c>
      <c r="EK1" s="1" t="e">
        <f>AND(Syllabus!D26,"AAAAAH7b/4w=")</f>
        <v>#VALUE!</v>
      </c>
      <c r="EL1" s="1" t="e">
        <f>AND(Syllabus!E26,"AAAAAH7b/40=")</f>
        <v>#VALUE!</v>
      </c>
      <c r="EM1" s="1" t="e">
        <f>AND(Syllabus!F26,"AAAAAH7b/44=")</f>
        <v>#VALUE!</v>
      </c>
      <c r="EN1" s="1" t="e">
        <f>AND(Syllabus!G26,"AAAAAH7b/48=")</f>
        <v>#VALUE!</v>
      </c>
      <c r="EO1" s="1" t="e">
        <f>IF(Syllabus!#REF!,"AAAAAH7b/5A=",0)</f>
        <v>#REF!</v>
      </c>
      <c r="EP1" s="1" t="e">
        <f>AND(Syllabus!#REF!,"AAAAAH7b/5E=")</f>
        <v>#REF!</v>
      </c>
      <c r="EQ1" s="1" t="e">
        <f>AND(Syllabus!#REF!,"AAAAAH7b/5I=")</f>
        <v>#REF!</v>
      </c>
      <c r="ER1" s="1" t="e">
        <f>AND(Syllabus!#REF!,"AAAAAH7b/5M=")</f>
        <v>#REF!</v>
      </c>
      <c r="ES1" s="1" t="e">
        <f>AND(Syllabus!#REF!,"AAAAAH7b/5Q=")</f>
        <v>#REF!</v>
      </c>
      <c r="ET1" s="1" t="e">
        <f>AND(Syllabus!#REF!,"AAAAAH7b/5U=")</f>
        <v>#REF!</v>
      </c>
      <c r="EU1" s="1" t="e">
        <f>AND(Syllabus!#REF!,"AAAAAH7b/5Y=")</f>
        <v>#REF!</v>
      </c>
      <c r="EV1" s="1" t="e">
        <f>AND(Syllabus!#REF!,"AAAAAH7b/5c=")</f>
        <v>#REF!</v>
      </c>
      <c r="EW1" s="1">
        <f>IF(Syllabus!27:27,"AAAAAH7b/5g=",0)</f>
        <v>0</v>
      </c>
      <c r="EX1" s="1" t="e">
        <f>AND(Syllabus!A27,"AAAAAH7b/5k=")</f>
        <v>#VALUE!</v>
      </c>
      <c r="EY1" s="1" t="e">
        <f>AND(Syllabus!B27,"AAAAAH7b/5o=")</f>
        <v>#VALUE!</v>
      </c>
      <c r="EZ1" s="1" t="e">
        <f>AND(Syllabus!C27,"AAAAAH7b/5s=")</f>
        <v>#VALUE!</v>
      </c>
      <c r="FA1" s="1" t="e">
        <f>AND(Syllabus!D27,"AAAAAH7b/5w=")</f>
        <v>#VALUE!</v>
      </c>
      <c r="FB1" s="1" t="e">
        <f>AND(Syllabus!E27,"AAAAAH7b/50=")</f>
        <v>#VALUE!</v>
      </c>
      <c r="FC1" s="1" t="e">
        <f>AND(Syllabus!F27,"AAAAAH7b/54=")</f>
        <v>#VALUE!</v>
      </c>
      <c r="FD1" s="1" t="e">
        <f>AND(Syllabus!G27,"AAAAAH7b/58=")</f>
        <v>#VALUE!</v>
      </c>
      <c r="FE1" s="1" t="e">
        <f>IF(Syllabus!#REF!,"AAAAAH7b/6A=",0)</f>
        <v>#REF!</v>
      </c>
      <c r="FF1" s="1" t="e">
        <f>AND(Syllabus!#REF!,"AAAAAH7b/6E=")</f>
        <v>#REF!</v>
      </c>
      <c r="FG1" s="1" t="e">
        <f>AND(Syllabus!#REF!,"AAAAAH7b/6I=")</f>
        <v>#REF!</v>
      </c>
      <c r="FH1" s="1" t="e">
        <f>AND(Syllabus!#REF!,"AAAAAH7b/6M=")</f>
        <v>#REF!</v>
      </c>
      <c r="FI1" s="1" t="e">
        <f>AND(Syllabus!#REF!,"AAAAAH7b/6Q=")</f>
        <v>#REF!</v>
      </c>
      <c r="FJ1" s="1" t="e">
        <f>AND(Syllabus!#REF!,"AAAAAH7b/6U=")</f>
        <v>#REF!</v>
      </c>
      <c r="FK1" s="1" t="e">
        <f>AND(Syllabus!#REF!,"AAAAAH7b/6Y=")</f>
        <v>#REF!</v>
      </c>
      <c r="FL1" s="1" t="e">
        <f>AND(Syllabus!#REF!,"AAAAAH7b/6c=")</f>
        <v>#REF!</v>
      </c>
      <c r="FM1" s="1" t="e">
        <f>IF(Syllabus!#REF!,"AAAAAH7b/6g=",0)</f>
        <v>#REF!</v>
      </c>
      <c r="FN1" s="1" t="e">
        <f>AND(Syllabus!#REF!,"AAAAAH7b/6k=")</f>
        <v>#REF!</v>
      </c>
      <c r="FO1" s="1" t="e">
        <f>AND(Syllabus!#REF!,"AAAAAH7b/6o=")</f>
        <v>#REF!</v>
      </c>
      <c r="FP1" s="1" t="e">
        <f>AND(Syllabus!#REF!,"AAAAAH7b/6s=")</f>
        <v>#REF!</v>
      </c>
      <c r="FQ1" s="1" t="e">
        <f>AND(Syllabus!#REF!,"AAAAAH7b/6w=")</f>
        <v>#REF!</v>
      </c>
      <c r="FR1" s="1" t="e">
        <f>AND(Syllabus!#REF!,"AAAAAH7b/60=")</f>
        <v>#REF!</v>
      </c>
      <c r="FS1" s="1" t="e">
        <f>AND(Syllabus!#REF!,"AAAAAH7b/64=")</f>
        <v>#REF!</v>
      </c>
      <c r="FT1" s="1" t="e">
        <f>AND(Syllabus!#REF!,"AAAAAH7b/68=")</f>
        <v>#REF!</v>
      </c>
      <c r="FU1" s="1">
        <f>IF(Syllabus!28:28,"AAAAAH7b/7A=",0)</f>
        <v>0</v>
      </c>
      <c r="FV1" s="1" t="e">
        <f>AND(Syllabus!A28,"AAAAAH7b/7E=")</f>
        <v>#VALUE!</v>
      </c>
      <c r="FW1" s="1" t="e">
        <f>AND(Syllabus!B28,"AAAAAH7b/7I=")</f>
        <v>#VALUE!</v>
      </c>
      <c r="FX1" s="1" t="e">
        <f>AND(Syllabus!C28,"AAAAAH7b/7M=")</f>
        <v>#VALUE!</v>
      </c>
      <c r="FY1" s="1" t="e">
        <f>AND(Syllabus!D28,"AAAAAH7b/7Q=")</f>
        <v>#VALUE!</v>
      </c>
      <c r="FZ1" s="1" t="e">
        <f>AND(Syllabus!E28,"AAAAAH7b/7U=")</f>
        <v>#VALUE!</v>
      </c>
      <c r="GA1" s="1" t="e">
        <f>AND(Syllabus!F28,"AAAAAH7b/7Y=")</f>
        <v>#VALUE!</v>
      </c>
      <c r="GB1" s="1" t="e">
        <f>AND(Syllabus!G28,"AAAAAH7b/7c=")</f>
        <v>#VALUE!</v>
      </c>
      <c r="GC1" s="1">
        <f>IF(Syllabus!29:29,"AAAAAH7b/7g=",0)</f>
        <v>0</v>
      </c>
      <c r="GD1" s="1" t="b">
        <f>AND(Syllabus!A29,"AAAAAH7b/7k=")</f>
        <v>1</v>
      </c>
      <c r="GE1" s="1" t="e">
        <f>AND(Syllabus!B29,"AAAAAH7b/7o=")</f>
        <v>#VALUE!</v>
      </c>
      <c r="GF1" s="1" t="e">
        <f>AND(Syllabus!C29,"AAAAAH7b/7s=")</f>
        <v>#VALUE!</v>
      </c>
      <c r="GG1" s="1" t="b">
        <f>AND(Syllabus!D29,"AAAAAH7b/7w=")</f>
        <v>1</v>
      </c>
      <c r="GH1" s="1" t="b">
        <f>AND(Syllabus!E29,"AAAAAH7b/70=")</f>
        <v>1</v>
      </c>
      <c r="GI1" s="1" t="e">
        <f>AND(Syllabus!F29,"AAAAAH7b/74=")</f>
        <v>#VALUE!</v>
      </c>
      <c r="GJ1" s="1" t="e">
        <f>AND(Syllabus!G29,"AAAAAH7b/78=")</f>
        <v>#VALUE!</v>
      </c>
      <c r="GK1" s="1">
        <f>IF(Syllabus!30:30,"AAAAAH7b/8A=",0)</f>
        <v>0</v>
      </c>
      <c r="GL1" s="1" t="e">
        <f>AND(Syllabus!A30,"AAAAAH7b/8E=")</f>
        <v>#VALUE!</v>
      </c>
      <c r="GM1" s="1" t="e">
        <f>AND(Syllabus!B30,"AAAAAH7b/8I=")</f>
        <v>#VALUE!</v>
      </c>
      <c r="GN1" s="1" t="e">
        <f>AND(Syllabus!C30,"AAAAAH7b/8M=")</f>
        <v>#VALUE!</v>
      </c>
      <c r="GO1" s="1" t="b">
        <f>AND(Syllabus!D30,"AAAAAH7b/8Q=")</f>
        <v>1</v>
      </c>
      <c r="GP1" s="1" t="b">
        <f>AND(Syllabus!E30,"AAAAAH7b/8U=")</f>
        <v>1</v>
      </c>
      <c r="GQ1" s="1" t="e">
        <f>AND(Syllabus!F30,"AAAAAH7b/8Y=")</f>
        <v>#VALUE!</v>
      </c>
      <c r="GR1" s="1" t="e">
        <f>AND(Syllabus!G30,"AAAAAH7b/8c=")</f>
        <v>#VALUE!</v>
      </c>
      <c r="GS1" s="1" t="e">
        <f>IF(_xlfn.SINGLE(Syllabus!#REF!),"AAAAAH7b/8g=",0)</f>
        <v>#REF!</v>
      </c>
      <c r="GT1" s="1" t="e">
        <f>AND(Syllabus!#REF!,"AAAAAH7b/8k=")</f>
        <v>#REF!</v>
      </c>
      <c r="GU1" s="1" t="e">
        <f>AND(Syllabus!#REF!,"AAAAAH7b/8o=")</f>
        <v>#REF!</v>
      </c>
      <c r="GV1" s="1" t="e">
        <f>AND(Syllabus!#REF!,"AAAAAH7b/8s=")</f>
        <v>#REF!</v>
      </c>
      <c r="GW1" s="1" t="e">
        <f>AND(Syllabus!#REF!,"AAAAAH7b/8w=")</f>
        <v>#REF!</v>
      </c>
      <c r="GX1" s="1" t="e">
        <f>AND(Syllabus!#REF!,"AAAAAH7b/80=")</f>
        <v>#REF!</v>
      </c>
      <c r="GY1" s="1" t="e">
        <f>AND(Syllabus!#REF!,"AAAAAH7b/84=")</f>
        <v>#REF!</v>
      </c>
      <c r="GZ1" s="1" t="e">
        <f>AND(Syllabus!#REF!,"AAAAAH7b/88=")</f>
        <v>#REF!</v>
      </c>
      <c r="HA1" s="1">
        <f>IF(Syllabus!31:31,"AAAAAH7b/9A=",0)</f>
        <v>0</v>
      </c>
      <c r="HB1" s="1" t="e">
        <f>AND(Syllabus!A31,"AAAAAH7b/9E=")</f>
        <v>#VALUE!</v>
      </c>
      <c r="HC1" s="1" t="e">
        <f>AND(Syllabus!B31,"AAAAAH7b/9I=")</f>
        <v>#VALUE!</v>
      </c>
      <c r="HD1" s="1" t="e">
        <f>AND(Syllabus!C31,"AAAAAH7b/9M=")</f>
        <v>#VALUE!</v>
      </c>
      <c r="HE1" s="1" t="b">
        <f>AND(Syllabus!D31,"AAAAAH7b/9Q=")</f>
        <v>1</v>
      </c>
      <c r="HF1" s="1" t="e">
        <f>AND(Syllabus!E31,"AAAAAH7b/9U=")</f>
        <v>#VALUE!</v>
      </c>
      <c r="HG1" s="1" t="e">
        <f>AND(Syllabus!F31,"AAAAAH7b/9Y=")</f>
        <v>#VALUE!</v>
      </c>
      <c r="HH1" s="1" t="e">
        <f>AND(Syllabus!G31,"AAAAAH7b/9c=")</f>
        <v>#VALUE!</v>
      </c>
      <c r="HI1" s="1">
        <f>IF(Syllabus!32:32,"AAAAAH7b/9g=",0)</f>
        <v>0</v>
      </c>
      <c r="HJ1" s="1" t="b">
        <f>AND(Syllabus!A32,"AAAAAH7b/9k=")</f>
        <v>1</v>
      </c>
      <c r="HK1" s="1" t="e">
        <f>AND(Syllabus!B32,"AAAAAH7b/9o=")</f>
        <v>#VALUE!</v>
      </c>
      <c r="HL1" s="1" t="e">
        <f>AND(Syllabus!C32,"AAAAAH7b/9s=")</f>
        <v>#VALUE!</v>
      </c>
      <c r="HM1" s="1" t="e">
        <f>AND(Syllabus!D32,"AAAAAH7b/9w=")</f>
        <v>#VALUE!</v>
      </c>
      <c r="HN1" s="1" t="e">
        <f>AND(Syllabus!E32,"AAAAAH7b/90=")</f>
        <v>#VALUE!</v>
      </c>
      <c r="HO1" s="1" t="e">
        <f>AND(Syllabus!F32,"AAAAAH7b/94=")</f>
        <v>#VALUE!</v>
      </c>
      <c r="HP1" s="1" t="e">
        <f>AND(Syllabus!G32,"AAAAAH7b/98=")</f>
        <v>#VALUE!</v>
      </c>
      <c r="HQ1" s="1">
        <f>IF(Syllabus!33:33,"AAAAAH7b/+A=",0)</f>
        <v>0</v>
      </c>
      <c r="HR1" s="1" t="e">
        <f>AND(Syllabus!A33,"AAAAAH7b/+E=")</f>
        <v>#VALUE!</v>
      </c>
      <c r="HS1" s="1" t="e">
        <f>AND(Syllabus!B33,"AAAAAH7b/+I=")</f>
        <v>#VALUE!</v>
      </c>
      <c r="HT1" s="1" t="e">
        <f>AND(Syllabus!C33,"AAAAAH7b/+M=")</f>
        <v>#VALUE!</v>
      </c>
      <c r="HU1" s="1" t="e">
        <f>AND(Syllabus!D33,"AAAAAH7b/+Q=")</f>
        <v>#VALUE!</v>
      </c>
      <c r="HV1" s="1" t="e">
        <f>AND(Syllabus!E33,"AAAAAH7b/+U=")</f>
        <v>#VALUE!</v>
      </c>
      <c r="HW1" s="1" t="e">
        <f>AND(Syllabus!F33,"AAAAAH7b/+Y=")</f>
        <v>#VALUE!</v>
      </c>
      <c r="HX1" s="1" t="e">
        <f>AND(Syllabus!G33,"AAAAAH7b/+c=")</f>
        <v>#VALUE!</v>
      </c>
      <c r="HY1" s="1">
        <f>IF(Syllabus!34:34,"AAAAAH7b/+g=",0)</f>
        <v>0</v>
      </c>
      <c r="HZ1" s="1" t="e">
        <f>AND(Syllabus!A34,"AAAAAH7b/+k=")</f>
        <v>#VALUE!</v>
      </c>
      <c r="IA1" s="1" t="e">
        <f>AND(Syllabus!B34,"AAAAAH7b/+o=")</f>
        <v>#VALUE!</v>
      </c>
      <c r="IB1" s="1" t="e">
        <f>AND(Syllabus!C34,"AAAAAH7b/+s=")</f>
        <v>#VALUE!</v>
      </c>
      <c r="IC1" s="1" t="e">
        <f>AND(Syllabus!D34,"AAAAAH7b/+w=")</f>
        <v>#VALUE!</v>
      </c>
      <c r="ID1" s="1" t="e">
        <f>AND(Syllabus!E34,"AAAAAH7b/+0=")</f>
        <v>#VALUE!</v>
      </c>
      <c r="IE1" s="1" t="e">
        <f>AND(Syllabus!F34,"AAAAAH7b/+4=")</f>
        <v>#VALUE!</v>
      </c>
      <c r="IF1" s="1" t="e">
        <f>AND(Syllabus!G34,"AAAAAH7b/+8=")</f>
        <v>#VALUE!</v>
      </c>
      <c r="IG1" s="1">
        <f>IF(Syllabus!35:35,"AAAAAH7b//A=",0)</f>
        <v>0</v>
      </c>
      <c r="IH1" s="1" t="e">
        <f>AND(Syllabus!A35,"AAAAAH7b//E=")</f>
        <v>#VALUE!</v>
      </c>
      <c r="II1" s="1" t="e">
        <f>AND(Syllabus!B35,"AAAAAH7b//I=")</f>
        <v>#VALUE!</v>
      </c>
      <c r="IJ1" s="1" t="e">
        <f>AND(Syllabus!C35,"AAAAAH7b//M=")</f>
        <v>#VALUE!</v>
      </c>
      <c r="IK1" s="1" t="b">
        <f>AND(Syllabus!D35,"AAAAAH7b//Q=")</f>
        <v>0</v>
      </c>
      <c r="IL1" s="1" t="e">
        <f>AND(Syllabus!E35,"AAAAAH7b//U=")</f>
        <v>#VALUE!</v>
      </c>
      <c r="IM1" s="1" t="e">
        <f>AND(Syllabus!F35,"AAAAAH7b//Y=")</f>
        <v>#VALUE!</v>
      </c>
      <c r="IN1" s="1" t="e">
        <f>AND(Syllabus!G35,"AAAAAH7b//c=")</f>
        <v>#VALUE!</v>
      </c>
      <c r="IO1" s="1">
        <f>IF(Syllabus!36:36,"AAAAAH7b//g=",0)</f>
        <v>0</v>
      </c>
      <c r="IP1" s="1" t="e">
        <f>AND(Syllabus!A36,"AAAAAH7b//k=")</f>
        <v>#VALUE!</v>
      </c>
      <c r="IQ1" s="1" t="e">
        <f>AND(Syllabus!B36,"AAAAAH7b//o=")</f>
        <v>#VALUE!</v>
      </c>
      <c r="IR1" s="1" t="e">
        <f>AND(Syllabus!C36,"AAAAAH7b//s=")</f>
        <v>#VALUE!</v>
      </c>
      <c r="IS1" s="1" t="e">
        <f>AND(Syllabus!D36,"AAAAAH7b//w=")</f>
        <v>#VALUE!</v>
      </c>
      <c r="IT1" s="1" t="e">
        <f>AND(Syllabus!E36,"AAAAAH7b//0=")</f>
        <v>#VALUE!</v>
      </c>
      <c r="IU1" s="1" t="e">
        <f>AND(Syllabus!F36,"AAAAAH7b//4=")</f>
        <v>#VALUE!</v>
      </c>
      <c r="IV1" s="1" t="e">
        <f>AND(Syllabus!G36,"AAAAAH7b//8=")</f>
        <v>#VALUE!</v>
      </c>
    </row>
    <row r="2" spans="1:256" ht="12.75" customHeight="1">
      <c r="A2" s="1">
        <f>IF(Syllabus!37:37,"AAAAAH/vfwA=",0)</f>
        <v>0</v>
      </c>
      <c r="B2" s="1" t="e">
        <f>AND(Syllabus!A37,"AAAAAH/vfwE=")</f>
        <v>#VALUE!</v>
      </c>
      <c r="C2" s="1" t="e">
        <f>AND(Syllabus!B37,"AAAAAH/vfwI=")</f>
        <v>#VALUE!</v>
      </c>
      <c r="D2" s="1" t="e">
        <f>AND(Syllabus!C37,"AAAAAH/vfwM=")</f>
        <v>#VALUE!</v>
      </c>
      <c r="E2" s="1" t="e">
        <f>AND(Syllabus!D37,"AAAAAH/vfwQ=")</f>
        <v>#VALUE!</v>
      </c>
      <c r="F2" s="1" t="e">
        <f>AND(Syllabus!E37,"AAAAAH/vfwU=")</f>
        <v>#VALUE!</v>
      </c>
      <c r="G2" s="1" t="e">
        <f>AND(Syllabus!F37,"AAAAAH/vfwY=")</f>
        <v>#VALUE!</v>
      </c>
      <c r="H2" s="1" t="e">
        <f>AND(Syllabus!G37,"AAAAAH/vfwc=")</f>
        <v>#VALUE!</v>
      </c>
      <c r="I2" s="1">
        <f>IF(Syllabus!38:38,"AAAAAH/vfwg=",0)</f>
        <v>0</v>
      </c>
      <c r="J2" s="1" t="e">
        <f>AND(Syllabus!A38,"AAAAAH/vfwk=")</f>
        <v>#VALUE!</v>
      </c>
      <c r="K2" s="1" t="e">
        <f>AND(Syllabus!B38,"AAAAAH/vfwo=")</f>
        <v>#VALUE!</v>
      </c>
      <c r="L2" s="1" t="e">
        <f>AND(Syllabus!C38,"AAAAAH/vfws=")</f>
        <v>#VALUE!</v>
      </c>
      <c r="M2" s="1" t="e">
        <f>AND(Syllabus!D38,"AAAAAH/vfww=")</f>
        <v>#VALUE!</v>
      </c>
      <c r="N2" s="1" t="e">
        <f>AND(Syllabus!E38,"AAAAAH/vfw0=")</f>
        <v>#VALUE!</v>
      </c>
      <c r="O2" s="1" t="e">
        <f>AND(Syllabus!F38,"AAAAAH/vfw4=")</f>
        <v>#VALUE!</v>
      </c>
      <c r="P2" s="1" t="e">
        <f>AND(Syllabus!G38,"AAAAAH/vfw8=")</f>
        <v>#VALUE!</v>
      </c>
      <c r="Q2" s="1" t="e">
        <f>IF(Syllabus!#REF!,"AAAAAH/vfxA=",0)</f>
        <v>#REF!</v>
      </c>
      <c r="R2" s="1" t="str">
        <f>IF(Syllabus!A:A,"AAAAAH/vfxE=",0)</f>
        <v>AAAAAH/vfxE=</v>
      </c>
      <c r="S2" s="1" t="e">
        <f>IF(Syllabus!B:B,"AAAAAH/vfxI=",0)</f>
        <v>#VALUE!</v>
      </c>
      <c r="T2" s="1" t="e">
        <f>IF(Syllabus!C:C,"AAAAAH/vfxM=",0)</f>
        <v>#VALUE!</v>
      </c>
      <c r="U2" s="1">
        <f>IF(Syllabus!D:D,"AAAAAH/vfxQ=",0)</f>
        <v>0</v>
      </c>
      <c r="V2" s="1">
        <f>IF(Syllabus!E:E,"AAAAAH/vfxU=",0)</f>
        <v>0</v>
      </c>
      <c r="W2" s="1">
        <f>IF(Syllabus!F:F,"AAAAAH/vfxY=",0)</f>
        <v>0</v>
      </c>
      <c r="X2" s="1">
        <f>IF(Syllabus!G:G,"AAAAAH/vfxc=",0)</f>
        <v>0</v>
      </c>
      <c r="Y2" s="1" t="e">
        <f>IF(#REF!,"AAAAAH/vfxg=",0)</f>
        <v>#REF!</v>
      </c>
      <c r="Z2" s="1" t="e">
        <f>AND(#REF!,"AAAAAH/vfxk=")</f>
        <v>#REF!</v>
      </c>
      <c r="AA2" s="1" t="e">
        <f>AND(#REF!,"AAAAAH/vfxo=")</f>
        <v>#REF!</v>
      </c>
      <c r="AB2" s="1" t="e">
        <f>AND(#REF!,"AAAAAH/vfxs=")</f>
        <v>#REF!</v>
      </c>
      <c r="AC2" s="1" t="e">
        <f>AND(#REF!,"AAAAAH/vfxw=")</f>
        <v>#REF!</v>
      </c>
      <c r="AD2" s="1" t="e">
        <f>AND(#REF!,"AAAAAH/vfx0=")</f>
        <v>#REF!</v>
      </c>
      <c r="AE2" s="1" t="e">
        <f>AND(#REF!,"AAAAAH/vfx4=")</f>
        <v>#REF!</v>
      </c>
      <c r="AF2" s="1" t="e">
        <f>IF(#REF!,"AAAAAH/vfx8=",0)</f>
        <v>#REF!</v>
      </c>
      <c r="AG2" s="1" t="e">
        <f>AND(#REF!,"AAAAAH/vfyA=")</f>
        <v>#REF!</v>
      </c>
      <c r="AH2" s="1" t="e">
        <f>AND(#REF!,"AAAAAH/vfyE=")</f>
        <v>#REF!</v>
      </c>
      <c r="AI2" s="1" t="e">
        <f>AND(#REF!,"AAAAAH/vfyI=")</f>
        <v>#REF!</v>
      </c>
      <c r="AJ2" s="1" t="e">
        <f>AND(#REF!,"AAAAAH/vfyM=")</f>
        <v>#REF!</v>
      </c>
      <c r="AK2" s="1" t="e">
        <f>AND(#REF!,"AAAAAH/vfyQ=")</f>
        <v>#REF!</v>
      </c>
      <c r="AL2" s="1" t="e">
        <f>AND(#REF!,"AAAAAH/vfyU=")</f>
        <v>#REF!</v>
      </c>
      <c r="AM2" s="1" t="e">
        <f>IF(#REF!,"AAAAAH/vfyY=",0)</f>
        <v>#REF!</v>
      </c>
      <c r="AN2" s="1" t="e">
        <f>AND(#REF!,"AAAAAH/vfyc=")</f>
        <v>#REF!</v>
      </c>
      <c r="AO2" s="1" t="e">
        <f>AND(#REF!,"AAAAAH/vfyg=")</f>
        <v>#REF!</v>
      </c>
      <c r="AP2" s="1" t="e">
        <f>AND(#REF!,"AAAAAH/vfyk=")</f>
        <v>#REF!</v>
      </c>
      <c r="AQ2" s="1" t="e">
        <f>AND(#REF!,"AAAAAH/vfyo=")</f>
        <v>#REF!</v>
      </c>
      <c r="AR2" s="1" t="e">
        <f>AND(#REF!,"AAAAAH/vfys=")</f>
        <v>#REF!</v>
      </c>
      <c r="AS2" s="1" t="e">
        <f>AND(#REF!,"AAAAAH/vfyw=")</f>
        <v>#REF!</v>
      </c>
      <c r="AT2" s="1" t="e">
        <f>IF(#REF!,"AAAAAH/vfy0=",0)</f>
        <v>#REF!</v>
      </c>
      <c r="AU2" s="1" t="e">
        <f>AND(#REF!,"AAAAAH/vfy4=")</f>
        <v>#REF!</v>
      </c>
      <c r="AV2" s="1" t="e">
        <f>AND(#REF!,"AAAAAH/vfy8=")</f>
        <v>#REF!</v>
      </c>
      <c r="AW2" s="1" t="e">
        <f>AND(#REF!,"AAAAAH/vfzA=")</f>
        <v>#REF!</v>
      </c>
      <c r="AX2" s="1" t="e">
        <f>AND(#REF!,"AAAAAH/vfzE=")</f>
        <v>#REF!</v>
      </c>
      <c r="AY2" s="1" t="e">
        <f>AND(#REF!,"AAAAAH/vfzI=")</f>
        <v>#REF!</v>
      </c>
      <c r="AZ2" s="1" t="e">
        <f>AND(#REF!,"AAAAAH/vfzM=")</f>
        <v>#REF!</v>
      </c>
      <c r="BA2" s="1" t="e">
        <f>IF(#REF!,"AAAAAH/vfzQ=",0)</f>
        <v>#REF!</v>
      </c>
      <c r="BB2" s="1" t="e">
        <f>AND(#REF!,"AAAAAH/vfzU=")</f>
        <v>#REF!</v>
      </c>
      <c r="BC2" s="1" t="e">
        <f>AND(#REF!,"AAAAAH/vfzY=")</f>
        <v>#REF!</v>
      </c>
      <c r="BD2" s="1" t="e">
        <f>AND(#REF!,"AAAAAH/vfzc=")</f>
        <v>#REF!</v>
      </c>
      <c r="BE2" s="1" t="e">
        <f>AND(#REF!,"AAAAAH/vfzg=")</f>
        <v>#REF!</v>
      </c>
      <c r="BF2" s="1" t="e">
        <f>AND(#REF!,"AAAAAH/vfzk=")</f>
        <v>#REF!</v>
      </c>
      <c r="BG2" s="1" t="e">
        <f>AND(#REF!,"AAAAAH/vfzo=")</f>
        <v>#REF!</v>
      </c>
      <c r="BH2" s="1" t="e">
        <f>IF(#REF!,"AAAAAH/vfzs=",0)</f>
        <v>#REF!</v>
      </c>
      <c r="BI2" s="1" t="e">
        <f>AND(#REF!,"AAAAAH/vfzw=")</f>
        <v>#REF!</v>
      </c>
      <c r="BJ2" s="1" t="e">
        <f>AND(#REF!,"AAAAAH/vfz0=")</f>
        <v>#REF!</v>
      </c>
      <c r="BK2" s="1" t="e">
        <f>AND(#REF!,"AAAAAH/vfz4=")</f>
        <v>#REF!</v>
      </c>
      <c r="BL2" s="1" t="e">
        <f>AND(#REF!,"AAAAAH/vfz8=")</f>
        <v>#REF!</v>
      </c>
      <c r="BM2" s="1" t="e">
        <f>AND(#REF!,"AAAAAH/vf0A=")</f>
        <v>#REF!</v>
      </c>
      <c r="BN2" s="1" t="e">
        <f>AND(#REF!,"AAAAAH/vf0E=")</f>
        <v>#REF!</v>
      </c>
      <c r="BO2" s="1" t="e">
        <f>IF(#REF!,"AAAAAH/vf0I=",0)</f>
        <v>#REF!</v>
      </c>
      <c r="BP2" s="1" t="e">
        <f>AND(#REF!,"AAAAAH/vf0M=")</f>
        <v>#REF!</v>
      </c>
      <c r="BQ2" s="1" t="e">
        <f>AND(#REF!,"AAAAAH/vf0Q=")</f>
        <v>#REF!</v>
      </c>
      <c r="BR2" s="1" t="e">
        <f>AND(#REF!,"AAAAAH/vf0U=")</f>
        <v>#REF!</v>
      </c>
      <c r="BS2" s="1" t="e">
        <f>AND(#REF!,"AAAAAH/vf0Y=")</f>
        <v>#REF!</v>
      </c>
      <c r="BT2" s="1" t="e">
        <f>AND(#REF!,"AAAAAH/vf0c=")</f>
        <v>#REF!</v>
      </c>
      <c r="BU2" s="1" t="e">
        <f>AND(#REF!,"AAAAAH/vf0g=")</f>
        <v>#REF!</v>
      </c>
      <c r="BV2" s="1" t="e">
        <f>IF(#REF!,"AAAAAH/vf0k=",0)</f>
        <v>#REF!</v>
      </c>
      <c r="BW2" s="1" t="e">
        <f>AND(#REF!,"AAAAAH/vf0o=")</f>
        <v>#REF!</v>
      </c>
      <c r="BX2" s="1" t="e">
        <f>AND(#REF!,"AAAAAH/vf0s=")</f>
        <v>#REF!</v>
      </c>
      <c r="BY2" s="1" t="e">
        <f>AND(#REF!,"AAAAAH/vf0w=")</f>
        <v>#REF!</v>
      </c>
      <c r="BZ2" s="1" t="e">
        <f>AND(#REF!,"AAAAAH/vf00=")</f>
        <v>#REF!</v>
      </c>
      <c r="CA2" s="1" t="e">
        <f>AND(#REF!,"AAAAAH/vf04=")</f>
        <v>#REF!</v>
      </c>
      <c r="CB2" s="1" t="e">
        <f>AND(#REF!,"AAAAAH/vf08=")</f>
        <v>#REF!</v>
      </c>
      <c r="CC2" s="1" t="e">
        <f>IF(#REF!,"AAAAAH/vf1A=",0)</f>
        <v>#REF!</v>
      </c>
      <c r="CD2" s="1" t="e">
        <f>AND(#REF!,"AAAAAH/vf1E=")</f>
        <v>#REF!</v>
      </c>
      <c r="CE2" s="1" t="e">
        <f>AND(#REF!,"AAAAAH/vf1I=")</f>
        <v>#REF!</v>
      </c>
      <c r="CF2" s="1" t="e">
        <f>AND(#REF!,"AAAAAH/vf1M=")</f>
        <v>#REF!</v>
      </c>
      <c r="CG2" s="1" t="e">
        <f>AND(#REF!,"AAAAAH/vf1Q=")</f>
        <v>#REF!</v>
      </c>
      <c r="CH2" s="1" t="e">
        <f>AND(#REF!,"AAAAAH/vf1U=")</f>
        <v>#REF!</v>
      </c>
      <c r="CI2" s="1" t="e">
        <f>AND(#REF!,"AAAAAH/vf1Y=")</f>
        <v>#REF!</v>
      </c>
      <c r="CJ2" s="1" t="e">
        <f>IF(#REF!,"AAAAAH/vf1c=",0)</f>
        <v>#REF!</v>
      </c>
      <c r="CK2" s="1" t="e">
        <f>AND(#REF!,"AAAAAH/vf1g=")</f>
        <v>#REF!</v>
      </c>
      <c r="CL2" s="1" t="e">
        <f>AND(#REF!,"AAAAAH/vf1k=")</f>
        <v>#REF!</v>
      </c>
      <c r="CM2" s="1" t="e">
        <f>AND(#REF!,"AAAAAH/vf1o=")</f>
        <v>#REF!</v>
      </c>
      <c r="CN2" s="1" t="e">
        <f>AND(#REF!,"AAAAAH/vf1s=")</f>
        <v>#REF!</v>
      </c>
      <c r="CO2" s="1" t="e">
        <f>AND(#REF!,"AAAAAH/vf1w=")</f>
        <v>#REF!</v>
      </c>
      <c r="CP2" s="1" t="e">
        <f>AND(#REF!,"AAAAAH/vf10=")</f>
        <v>#REF!</v>
      </c>
      <c r="CQ2" s="1" t="e">
        <f>IF(#REF!,"AAAAAH/vf14=",0)</f>
        <v>#REF!</v>
      </c>
      <c r="CR2" s="1" t="e">
        <f>AND(#REF!,"AAAAAH/vf18=")</f>
        <v>#REF!</v>
      </c>
      <c r="CS2" s="1" t="e">
        <f>AND(#REF!,"AAAAAH/vf2A=")</f>
        <v>#REF!</v>
      </c>
      <c r="CT2" s="1" t="e">
        <f>AND(#REF!,"AAAAAH/vf2E=")</f>
        <v>#REF!</v>
      </c>
      <c r="CU2" s="1" t="e">
        <f>AND(#REF!,"AAAAAH/vf2I=")</f>
        <v>#REF!</v>
      </c>
      <c r="CV2" s="1" t="e">
        <f>AND(#REF!,"AAAAAH/vf2M=")</f>
        <v>#REF!</v>
      </c>
      <c r="CW2" s="1" t="e">
        <f>AND(#REF!,"AAAAAH/vf2Q=")</f>
        <v>#REF!</v>
      </c>
      <c r="CX2" s="1" t="e">
        <f>IF(#REF!,"AAAAAH/vf2U=",0)</f>
        <v>#REF!</v>
      </c>
      <c r="CY2" s="1" t="e">
        <f>AND(#REF!,"AAAAAH/vf2Y=")</f>
        <v>#REF!</v>
      </c>
      <c r="CZ2" s="1" t="e">
        <f>AND(#REF!,"AAAAAH/vf2c=")</f>
        <v>#REF!</v>
      </c>
      <c r="DA2" s="1" t="e">
        <f>AND(#REF!,"AAAAAH/vf2g=")</f>
        <v>#REF!</v>
      </c>
      <c r="DB2" s="1" t="e">
        <f>AND(#REF!,"AAAAAH/vf2k=")</f>
        <v>#REF!</v>
      </c>
      <c r="DC2" s="1" t="e">
        <f>AND(#REF!,"AAAAAH/vf2o=")</f>
        <v>#REF!</v>
      </c>
      <c r="DD2" s="1" t="e">
        <f>AND(#REF!,"AAAAAH/vf2s=")</f>
        <v>#REF!</v>
      </c>
      <c r="DE2" s="1" t="e">
        <f>IF(#REF!,"AAAAAH/vf2w=",0)</f>
        <v>#REF!</v>
      </c>
      <c r="DF2" s="1" t="e">
        <f>AND(#REF!,"AAAAAH/vf20=")</f>
        <v>#REF!</v>
      </c>
      <c r="DG2" s="1" t="e">
        <f>AND(#REF!,"AAAAAH/vf24=")</f>
        <v>#REF!</v>
      </c>
      <c r="DH2" s="1" t="e">
        <f>AND(#REF!,"AAAAAH/vf28=")</f>
        <v>#REF!</v>
      </c>
      <c r="DI2" s="1" t="e">
        <f>AND(#REF!,"AAAAAH/vf3A=")</f>
        <v>#REF!</v>
      </c>
      <c r="DJ2" s="1" t="e">
        <f>AND(#REF!,"AAAAAH/vf3E=")</f>
        <v>#REF!</v>
      </c>
      <c r="DK2" s="1" t="e">
        <f>AND(#REF!,"AAAAAH/vf3I=")</f>
        <v>#REF!</v>
      </c>
      <c r="DL2" s="1" t="e">
        <f>IF(#REF!,"AAAAAH/vf3M=",0)</f>
        <v>#REF!</v>
      </c>
      <c r="DM2" s="1" t="e">
        <f>AND(#REF!,"AAAAAH/vf3Q=")</f>
        <v>#REF!</v>
      </c>
      <c r="DN2" s="1" t="e">
        <f>AND(#REF!,"AAAAAH/vf3U=")</f>
        <v>#REF!</v>
      </c>
      <c r="DO2" s="1" t="e">
        <f>AND(#REF!,"AAAAAH/vf3Y=")</f>
        <v>#REF!</v>
      </c>
      <c r="DP2" s="1" t="e">
        <f>AND(#REF!,"AAAAAH/vf3c=")</f>
        <v>#REF!</v>
      </c>
      <c r="DQ2" s="1" t="e">
        <f>AND(#REF!,"AAAAAH/vf3g=")</f>
        <v>#REF!</v>
      </c>
      <c r="DR2" s="1" t="e">
        <f>AND(#REF!,"AAAAAH/vf3k=")</f>
        <v>#REF!</v>
      </c>
      <c r="DS2" s="1" t="e">
        <f>IF(#REF!,"AAAAAH/vf3o=",0)</f>
        <v>#REF!</v>
      </c>
      <c r="DT2" s="1" t="e">
        <f>AND(#REF!,"AAAAAH/vf3s=")</f>
        <v>#REF!</v>
      </c>
      <c r="DU2" s="1" t="e">
        <f>AND(#REF!,"AAAAAH/vf3w=")</f>
        <v>#REF!</v>
      </c>
      <c r="DV2" s="1" t="e">
        <f>AND(#REF!,"AAAAAH/vf30=")</f>
        <v>#REF!</v>
      </c>
      <c r="DW2" s="1" t="e">
        <f>AND(#REF!,"AAAAAH/vf34=")</f>
        <v>#REF!</v>
      </c>
      <c r="DX2" s="1" t="e">
        <f>AND(#REF!,"AAAAAH/vf38=")</f>
        <v>#REF!</v>
      </c>
      <c r="DY2" s="1" t="e">
        <f>AND(#REF!,"AAAAAH/vf4A=")</f>
        <v>#REF!</v>
      </c>
      <c r="DZ2" s="1" t="e">
        <f>IF(#REF!,"AAAAAH/vf4E=",0)</f>
        <v>#REF!</v>
      </c>
      <c r="EA2" s="1" t="e">
        <f>AND(#REF!,"AAAAAH/vf4I=")</f>
        <v>#REF!</v>
      </c>
      <c r="EB2" s="1" t="e">
        <f>AND(#REF!,"AAAAAH/vf4M=")</f>
        <v>#REF!</v>
      </c>
      <c r="EC2" s="1" t="e">
        <f>AND(#REF!,"AAAAAH/vf4Q=")</f>
        <v>#REF!</v>
      </c>
      <c r="ED2" s="1" t="e">
        <f>AND(#REF!,"AAAAAH/vf4U=")</f>
        <v>#REF!</v>
      </c>
      <c r="EE2" s="1" t="e">
        <f>AND(#REF!,"AAAAAH/vf4Y=")</f>
        <v>#REF!</v>
      </c>
      <c r="EF2" s="1" t="e">
        <f>AND(#REF!,"AAAAAH/vf4c=")</f>
        <v>#REF!</v>
      </c>
      <c r="EG2" s="1" t="e">
        <f>IF(#REF!,"AAAAAH/vf4g=",0)</f>
        <v>#REF!</v>
      </c>
      <c r="EH2" s="1" t="e">
        <f>AND(#REF!,"AAAAAH/vf4k=")</f>
        <v>#REF!</v>
      </c>
      <c r="EI2" s="1" t="e">
        <f>AND(#REF!,"AAAAAH/vf4o=")</f>
        <v>#REF!</v>
      </c>
      <c r="EJ2" s="1" t="e">
        <f>AND(#REF!,"AAAAAH/vf4s=")</f>
        <v>#REF!</v>
      </c>
      <c r="EK2" s="1" t="e">
        <f>AND(#REF!,"AAAAAH/vf4w=")</f>
        <v>#REF!</v>
      </c>
      <c r="EL2" s="1" t="e">
        <f>AND(#REF!,"AAAAAH/vf40=")</f>
        <v>#REF!</v>
      </c>
      <c r="EM2" s="1" t="e">
        <f>AND(#REF!,"AAAAAH/vf44=")</f>
        <v>#REF!</v>
      </c>
      <c r="EN2" s="1" t="e">
        <f>IF(#REF!,"AAAAAH/vf48=",0)</f>
        <v>#REF!</v>
      </c>
      <c r="EO2" s="1" t="e">
        <f>AND(#REF!,"AAAAAH/vf5A=")</f>
        <v>#REF!</v>
      </c>
      <c r="EP2" s="1" t="e">
        <f>AND(#REF!,"AAAAAH/vf5E=")</f>
        <v>#REF!</v>
      </c>
      <c r="EQ2" s="1" t="e">
        <f>AND(#REF!,"AAAAAH/vf5I=")</f>
        <v>#REF!</v>
      </c>
      <c r="ER2" s="1" t="e">
        <f>AND(#REF!,"AAAAAH/vf5M=")</f>
        <v>#REF!</v>
      </c>
      <c r="ES2" s="1" t="e">
        <f>AND(#REF!,"AAAAAH/vf5Q=")</f>
        <v>#REF!</v>
      </c>
      <c r="ET2" s="1" t="e">
        <f>AND(#REF!,"AAAAAH/vf5U=")</f>
        <v>#REF!</v>
      </c>
      <c r="EU2" s="1" t="e">
        <f>IF(#REF!,"AAAAAH/vf5Y=",0)</f>
        <v>#REF!</v>
      </c>
      <c r="EV2" s="1" t="e">
        <f>AND(#REF!,"AAAAAH/vf5c=")</f>
        <v>#REF!</v>
      </c>
      <c r="EW2" s="1" t="e">
        <f>AND(#REF!,"AAAAAH/vf5g=")</f>
        <v>#REF!</v>
      </c>
      <c r="EX2" s="1" t="e">
        <f>AND(#REF!,"AAAAAH/vf5k=")</f>
        <v>#REF!</v>
      </c>
      <c r="EY2" s="1" t="e">
        <f>AND(#REF!,"AAAAAH/vf5o=")</f>
        <v>#REF!</v>
      </c>
      <c r="EZ2" s="1" t="e">
        <f>AND(#REF!,"AAAAAH/vf5s=")</f>
        <v>#REF!</v>
      </c>
      <c r="FA2" s="1" t="e">
        <f>AND(#REF!,"AAAAAH/vf5w=")</f>
        <v>#REF!</v>
      </c>
      <c r="FB2" s="1" t="e">
        <f>IF(#REF!,"AAAAAH/vf50=",0)</f>
        <v>#REF!</v>
      </c>
      <c r="FC2" s="1" t="e">
        <f>AND(#REF!,"AAAAAH/vf54=")</f>
        <v>#REF!</v>
      </c>
      <c r="FD2" s="1" t="e">
        <f>AND(#REF!,"AAAAAH/vf58=")</f>
        <v>#REF!</v>
      </c>
      <c r="FE2" s="1" t="e">
        <f>AND(#REF!,"AAAAAH/vf6A=")</f>
        <v>#REF!</v>
      </c>
      <c r="FF2" s="1" t="e">
        <f>AND(#REF!,"AAAAAH/vf6E=")</f>
        <v>#REF!</v>
      </c>
      <c r="FG2" s="1" t="e">
        <f>AND(#REF!,"AAAAAH/vf6I=")</f>
        <v>#REF!</v>
      </c>
      <c r="FH2" s="1" t="e">
        <f>AND(#REF!,"AAAAAH/vf6M=")</f>
        <v>#REF!</v>
      </c>
      <c r="FI2" s="1" t="e">
        <f>IF(#REF!,"AAAAAH/vf6Q=",0)</f>
        <v>#REF!</v>
      </c>
      <c r="FJ2" s="1" t="e">
        <f>AND(#REF!,"AAAAAH/vf6U=")</f>
        <v>#REF!</v>
      </c>
      <c r="FK2" s="1" t="e">
        <f>AND(#REF!,"AAAAAH/vf6Y=")</f>
        <v>#REF!</v>
      </c>
      <c r="FL2" s="1" t="e">
        <f>AND(#REF!,"AAAAAH/vf6c=")</f>
        <v>#REF!</v>
      </c>
      <c r="FM2" s="1" t="e">
        <f>AND(#REF!,"AAAAAH/vf6g=")</f>
        <v>#REF!</v>
      </c>
      <c r="FN2" s="1" t="e">
        <f>AND(#REF!,"AAAAAH/vf6k=")</f>
        <v>#REF!</v>
      </c>
      <c r="FO2" s="1" t="e">
        <f>AND(#REF!,"AAAAAH/vf6o=")</f>
        <v>#REF!</v>
      </c>
      <c r="FP2" s="1" t="e">
        <f>IF(#REF!,"AAAAAH/vf6s=",0)</f>
        <v>#REF!</v>
      </c>
      <c r="FQ2" s="1" t="e">
        <f>AND(#REF!,"AAAAAH/vf6w=")</f>
        <v>#REF!</v>
      </c>
      <c r="FR2" s="1" t="e">
        <f>AND(#REF!,"AAAAAH/vf60=")</f>
        <v>#REF!</v>
      </c>
      <c r="FS2" s="1" t="e">
        <f>AND(#REF!,"AAAAAH/vf64=")</f>
        <v>#REF!</v>
      </c>
      <c r="FT2" s="1" t="e">
        <f>AND(#REF!,"AAAAAH/vf68=")</f>
        <v>#REF!</v>
      </c>
      <c r="FU2" s="1" t="e">
        <f>AND(#REF!,"AAAAAH/vf7A=")</f>
        <v>#REF!</v>
      </c>
      <c r="FV2" s="1" t="e">
        <f>AND(#REF!,"AAAAAH/vf7E=")</f>
        <v>#REF!</v>
      </c>
      <c r="FW2" s="1" t="e">
        <f>IF(#REF!,"AAAAAH/vf7I=",0)</f>
        <v>#REF!</v>
      </c>
      <c r="FX2" s="1" t="e">
        <f>AND(#REF!,"AAAAAH/vf7M=")</f>
        <v>#REF!</v>
      </c>
      <c r="FY2" s="1" t="e">
        <f>AND(#REF!,"AAAAAH/vf7Q=")</f>
        <v>#REF!</v>
      </c>
      <c r="FZ2" s="1" t="e">
        <f>AND(#REF!,"AAAAAH/vf7U=")</f>
        <v>#REF!</v>
      </c>
      <c r="GA2" s="1" t="e">
        <f>AND(#REF!,"AAAAAH/vf7Y=")</f>
        <v>#REF!</v>
      </c>
      <c r="GB2" s="1" t="e">
        <f>AND(#REF!,"AAAAAH/vf7c=")</f>
        <v>#REF!</v>
      </c>
      <c r="GC2" s="1" t="e">
        <f>AND(#REF!,"AAAAAH/vf7g=")</f>
        <v>#REF!</v>
      </c>
      <c r="GD2" s="1" t="e">
        <f>IF(#REF!,"AAAAAH/vf7k=",0)</f>
        <v>#REF!</v>
      </c>
      <c r="GE2" s="1" t="e">
        <f>AND(#REF!,"AAAAAH/vf7o=")</f>
        <v>#REF!</v>
      </c>
      <c r="GF2" s="1" t="e">
        <f>AND(#REF!,"AAAAAH/vf7s=")</f>
        <v>#REF!</v>
      </c>
      <c r="GG2" s="1" t="e">
        <f>AND(#REF!,"AAAAAH/vf7w=")</f>
        <v>#REF!</v>
      </c>
      <c r="GH2" s="1" t="e">
        <f>AND(#REF!,"AAAAAH/vf70=")</f>
        <v>#REF!</v>
      </c>
      <c r="GI2" s="1" t="e">
        <f>AND(#REF!,"AAAAAH/vf74=")</f>
        <v>#REF!</v>
      </c>
      <c r="GJ2" s="1" t="e">
        <f>AND(#REF!,"AAAAAH/vf78=")</f>
        <v>#REF!</v>
      </c>
      <c r="GK2" s="1" t="e">
        <f>IF(#REF!,"AAAAAH/vf8A=",0)</f>
        <v>#REF!</v>
      </c>
      <c r="GL2" s="1" t="e">
        <f>AND(#REF!,"AAAAAH/vf8E=")</f>
        <v>#REF!</v>
      </c>
      <c r="GM2" s="1" t="e">
        <f>AND(#REF!,"AAAAAH/vf8I=")</f>
        <v>#REF!</v>
      </c>
      <c r="GN2" s="1" t="e">
        <f>AND(#REF!,"AAAAAH/vf8M=")</f>
        <v>#REF!</v>
      </c>
      <c r="GO2" s="1" t="e">
        <f>AND(#REF!,"AAAAAH/vf8Q=")</f>
        <v>#REF!</v>
      </c>
      <c r="GP2" s="1" t="e">
        <f>AND(#REF!,"AAAAAH/vf8U=")</f>
        <v>#REF!</v>
      </c>
      <c r="GQ2" s="1" t="e">
        <f>AND(#REF!,"AAAAAH/vf8Y=")</f>
        <v>#REF!</v>
      </c>
      <c r="GR2" s="1" t="e">
        <f>IF(#REF!,"AAAAAH/vf8c=",0)</f>
        <v>#REF!</v>
      </c>
      <c r="GS2" s="1" t="e">
        <f>AND(#REF!,"AAAAAH/vf8g=")</f>
        <v>#REF!</v>
      </c>
      <c r="GT2" s="1" t="e">
        <f>AND(#REF!,"AAAAAH/vf8k=")</f>
        <v>#REF!</v>
      </c>
      <c r="GU2" s="1" t="e">
        <f>AND(#REF!,"AAAAAH/vf8o=")</f>
        <v>#REF!</v>
      </c>
      <c r="GV2" s="1" t="e">
        <f>AND(#REF!,"AAAAAH/vf8s=")</f>
        <v>#REF!</v>
      </c>
      <c r="GW2" s="1" t="e">
        <f>AND(#REF!,"AAAAAH/vf8w=")</f>
        <v>#REF!</v>
      </c>
      <c r="GX2" s="1" t="e">
        <f>AND(#REF!,"AAAAAH/vf80=")</f>
        <v>#REF!</v>
      </c>
      <c r="GY2" s="1" t="e">
        <f>IF(#REF!,"AAAAAH/vf84=",0)</f>
        <v>#REF!</v>
      </c>
      <c r="GZ2" s="1" t="e">
        <f>AND(#REF!,"AAAAAH/vf88=")</f>
        <v>#REF!</v>
      </c>
      <c r="HA2" s="1" t="e">
        <f>AND(#REF!,"AAAAAH/vf9A=")</f>
        <v>#REF!</v>
      </c>
      <c r="HB2" s="1" t="e">
        <f>AND(#REF!,"AAAAAH/vf9E=")</f>
        <v>#REF!</v>
      </c>
      <c r="HC2" s="1" t="e">
        <f>AND(#REF!,"AAAAAH/vf9I=")</f>
        <v>#REF!</v>
      </c>
      <c r="HD2" s="1" t="e">
        <f>AND(#REF!,"AAAAAH/vf9M=")</f>
        <v>#REF!</v>
      </c>
      <c r="HE2" s="1" t="e">
        <f>AND(#REF!,"AAAAAH/vf9Q=")</f>
        <v>#REF!</v>
      </c>
      <c r="HF2" s="1" t="e">
        <f>IF(#REF!,"AAAAAH/vf9U=",0)</f>
        <v>#REF!</v>
      </c>
      <c r="HG2" s="1" t="e">
        <f>AND(#REF!,"AAAAAH/vf9Y=")</f>
        <v>#REF!</v>
      </c>
      <c r="HH2" s="1" t="e">
        <f>AND(#REF!,"AAAAAH/vf9c=")</f>
        <v>#REF!</v>
      </c>
      <c r="HI2" s="1" t="e">
        <f>AND(#REF!,"AAAAAH/vf9g=")</f>
        <v>#REF!</v>
      </c>
      <c r="HJ2" s="1" t="e">
        <f>AND(#REF!,"AAAAAH/vf9k=")</f>
        <v>#REF!</v>
      </c>
      <c r="HK2" s="1" t="e">
        <f>AND(#REF!,"AAAAAH/vf9o=")</f>
        <v>#REF!</v>
      </c>
      <c r="HL2" s="1" t="e">
        <f>AND(#REF!,"AAAAAH/vf9s=")</f>
        <v>#REF!</v>
      </c>
      <c r="HM2" s="1" t="e">
        <f>IF(#REF!,"AAAAAH/vf9w=",0)</f>
        <v>#REF!</v>
      </c>
      <c r="HN2" s="1" t="e">
        <f>AND(#REF!,"AAAAAH/vf90=")</f>
        <v>#REF!</v>
      </c>
      <c r="HO2" s="1" t="e">
        <f>AND(#REF!,"AAAAAH/vf94=")</f>
        <v>#REF!</v>
      </c>
      <c r="HP2" s="1" t="e">
        <f>AND(#REF!,"AAAAAH/vf98=")</f>
        <v>#REF!</v>
      </c>
      <c r="HQ2" s="1" t="e">
        <f>AND(#REF!,"AAAAAH/vf+A=")</f>
        <v>#REF!</v>
      </c>
      <c r="HR2" s="1" t="e">
        <f>AND(#REF!,"AAAAAH/vf+E=")</f>
        <v>#REF!</v>
      </c>
      <c r="HS2" s="1" t="e">
        <f>AND(#REF!,"AAAAAH/vf+I=")</f>
        <v>#REF!</v>
      </c>
      <c r="HT2" s="1" t="e">
        <f>IF(#REF!,"AAAAAH/vf+M=",0)</f>
        <v>#REF!</v>
      </c>
      <c r="HU2" s="1" t="e">
        <f>AND(#REF!,"AAAAAH/vf+Q=")</f>
        <v>#REF!</v>
      </c>
      <c r="HV2" s="1" t="e">
        <f>AND(#REF!,"AAAAAH/vf+U=")</f>
        <v>#REF!</v>
      </c>
      <c r="HW2" s="1" t="e">
        <f>AND(#REF!,"AAAAAH/vf+Y=")</f>
        <v>#REF!</v>
      </c>
      <c r="HX2" s="1" t="e">
        <f>AND(#REF!,"AAAAAH/vf+c=")</f>
        <v>#REF!</v>
      </c>
      <c r="HY2" s="1" t="e">
        <f>AND(#REF!,"AAAAAH/vf+g=")</f>
        <v>#REF!</v>
      </c>
      <c r="HZ2" s="1" t="e">
        <f>AND(#REF!,"AAAAAH/vf+k=")</f>
        <v>#REF!</v>
      </c>
      <c r="IA2" s="1" t="e">
        <f>IF(#REF!,"AAAAAH/vf+o=",0)</f>
        <v>#REF!</v>
      </c>
      <c r="IB2" s="1" t="e">
        <f>AND(#REF!,"AAAAAH/vf+s=")</f>
        <v>#REF!</v>
      </c>
      <c r="IC2" s="1" t="e">
        <f>AND(#REF!,"AAAAAH/vf+w=")</f>
        <v>#REF!</v>
      </c>
      <c r="ID2" s="1" t="e">
        <f>AND(#REF!,"AAAAAH/vf+0=")</f>
        <v>#REF!</v>
      </c>
      <c r="IE2" s="1" t="e">
        <f>AND(#REF!,"AAAAAH/vf+4=")</f>
        <v>#REF!</v>
      </c>
      <c r="IF2" s="1" t="e">
        <f>AND(#REF!,"AAAAAH/vf+8=")</f>
        <v>#REF!</v>
      </c>
      <c r="IG2" s="1" t="e">
        <f>AND(#REF!,"AAAAAH/vf/A=")</f>
        <v>#REF!</v>
      </c>
      <c r="IH2" s="1" t="e">
        <f>IF(#REF!,"AAAAAH/vf/E=",0)</f>
        <v>#REF!</v>
      </c>
      <c r="II2" s="1" t="e">
        <f>AND(#REF!,"AAAAAH/vf/I=")</f>
        <v>#REF!</v>
      </c>
      <c r="IJ2" s="1" t="e">
        <f>AND(#REF!,"AAAAAH/vf/M=")</f>
        <v>#REF!</v>
      </c>
      <c r="IK2" s="1" t="e">
        <f>AND(#REF!,"AAAAAH/vf/Q=")</f>
        <v>#REF!</v>
      </c>
      <c r="IL2" s="1" t="e">
        <f>AND(#REF!,"AAAAAH/vf/U=")</f>
        <v>#REF!</v>
      </c>
      <c r="IM2" s="1" t="e">
        <f>AND(#REF!,"AAAAAH/vf/Y=")</f>
        <v>#REF!</v>
      </c>
      <c r="IN2" s="1" t="e">
        <f>AND(#REF!,"AAAAAH/vf/c=")</f>
        <v>#REF!</v>
      </c>
      <c r="IO2" s="1" t="e">
        <f>IF(#REF!,"AAAAAH/vf/g=",0)</f>
        <v>#REF!</v>
      </c>
      <c r="IP2" s="1" t="e">
        <f>AND(#REF!,"AAAAAH/vf/k=")</f>
        <v>#REF!</v>
      </c>
      <c r="IQ2" s="1" t="e">
        <f>AND(#REF!,"AAAAAH/vf/o=")</f>
        <v>#REF!</v>
      </c>
      <c r="IR2" s="1" t="e">
        <f>AND(#REF!,"AAAAAH/vf/s=")</f>
        <v>#REF!</v>
      </c>
      <c r="IS2" s="1" t="e">
        <f>AND(#REF!,"AAAAAH/vf/w=")</f>
        <v>#REF!</v>
      </c>
      <c r="IT2" s="1" t="e">
        <f>AND(#REF!,"AAAAAH/vf/0=")</f>
        <v>#REF!</v>
      </c>
      <c r="IU2" s="1" t="e">
        <f>AND(#REF!,"AAAAAH/vf/4=")</f>
        <v>#REF!</v>
      </c>
      <c r="IV2" s="1" t="e">
        <f>IF(#REF!,"AAAAAH/vf/8=",0)</f>
        <v>#REF!</v>
      </c>
    </row>
    <row r="3" spans="1:256" ht="12.75" customHeight="1">
      <c r="A3" s="1" t="e">
        <f>AND(#REF!,"AAAAABPz/wA=")</f>
        <v>#REF!</v>
      </c>
      <c r="B3" s="1" t="e">
        <f>AND(#REF!,"AAAAABPz/wE=")</f>
        <v>#REF!</v>
      </c>
      <c r="C3" s="1" t="e">
        <f>AND(#REF!,"AAAAABPz/wI=")</f>
        <v>#REF!</v>
      </c>
      <c r="D3" s="1" t="e">
        <f>AND(#REF!,"AAAAABPz/wM=")</f>
        <v>#REF!</v>
      </c>
      <c r="E3" s="1" t="e">
        <f>AND(#REF!,"AAAAABPz/wQ=")</f>
        <v>#REF!</v>
      </c>
      <c r="F3" s="1" t="e">
        <f>AND(#REF!,"AAAAABPz/wU=")</f>
        <v>#REF!</v>
      </c>
      <c r="G3" s="1" t="e">
        <f>IF(#REF!,"AAAAABPz/wY=",0)</f>
        <v>#REF!</v>
      </c>
      <c r="H3" s="1" t="e">
        <f>AND(#REF!,"AAAAABPz/wc=")</f>
        <v>#REF!</v>
      </c>
      <c r="I3" s="1" t="e">
        <f>AND(#REF!,"AAAAABPz/wg=")</f>
        <v>#REF!</v>
      </c>
      <c r="J3" s="1" t="e">
        <f>AND(#REF!,"AAAAABPz/wk=")</f>
        <v>#REF!</v>
      </c>
      <c r="K3" s="1" t="e">
        <f>AND(#REF!,"AAAAABPz/wo=")</f>
        <v>#REF!</v>
      </c>
      <c r="L3" s="1" t="e">
        <f>AND(#REF!,"AAAAABPz/ws=")</f>
        <v>#REF!</v>
      </c>
      <c r="M3" s="1" t="e">
        <f>AND(#REF!,"AAAAABPz/ww=")</f>
        <v>#REF!</v>
      </c>
      <c r="N3" s="1" t="e">
        <f>IF(#REF!,"AAAAABPz/w0=",0)</f>
        <v>#REF!</v>
      </c>
      <c r="O3" s="1" t="e">
        <f>AND(#REF!,"AAAAABPz/w4=")</f>
        <v>#REF!</v>
      </c>
      <c r="P3" s="1" t="e">
        <f>AND(#REF!,"AAAAABPz/w8=")</f>
        <v>#REF!</v>
      </c>
      <c r="Q3" s="1" t="e">
        <f>AND(#REF!,"AAAAABPz/xA=")</f>
        <v>#REF!</v>
      </c>
      <c r="R3" s="1" t="e">
        <f>AND(#REF!,"AAAAABPz/xE=")</f>
        <v>#REF!</v>
      </c>
      <c r="S3" s="1" t="e">
        <f>AND(#REF!,"AAAAABPz/xI=")</f>
        <v>#REF!</v>
      </c>
      <c r="T3" s="1" t="e">
        <f>AND(#REF!,"AAAAABPz/xM=")</f>
        <v>#REF!</v>
      </c>
      <c r="U3" s="1" t="e">
        <f>IF(#REF!,"AAAAABPz/xQ=",0)</f>
        <v>#REF!</v>
      </c>
      <c r="V3" s="1" t="e">
        <f>AND(#REF!,"AAAAABPz/xU=")</f>
        <v>#REF!</v>
      </c>
      <c r="W3" s="1" t="e">
        <f>AND(#REF!,"AAAAABPz/xY=")</f>
        <v>#REF!</v>
      </c>
      <c r="X3" s="1" t="e">
        <f>AND(#REF!,"AAAAABPz/xc=")</f>
        <v>#REF!</v>
      </c>
      <c r="Y3" s="1" t="e">
        <f>AND(#REF!,"AAAAABPz/xg=")</f>
        <v>#REF!</v>
      </c>
      <c r="Z3" s="1" t="e">
        <f>AND(#REF!,"AAAAABPz/xk=")</f>
        <v>#REF!</v>
      </c>
      <c r="AA3" s="1" t="e">
        <f>AND(#REF!,"AAAAABPz/xo=")</f>
        <v>#REF!</v>
      </c>
      <c r="AB3" s="1" t="e">
        <f>IF(#REF!,"AAAAABPz/xs=",0)</f>
        <v>#REF!</v>
      </c>
      <c r="AC3" s="1" t="e">
        <f>AND(#REF!,"AAAAABPz/xw=")</f>
        <v>#REF!</v>
      </c>
      <c r="AD3" s="1" t="e">
        <f>AND(#REF!,"AAAAABPz/x0=")</f>
        <v>#REF!</v>
      </c>
      <c r="AE3" s="1" t="e">
        <f>AND(#REF!,"AAAAABPz/x4=")</f>
        <v>#REF!</v>
      </c>
      <c r="AF3" s="1" t="e">
        <f>AND(#REF!,"AAAAABPz/x8=")</f>
        <v>#REF!</v>
      </c>
      <c r="AG3" s="1" t="e">
        <f>AND(#REF!,"AAAAABPz/yA=")</f>
        <v>#REF!</v>
      </c>
      <c r="AH3" s="1" t="e">
        <f>AND(#REF!,"AAAAABPz/yE=")</f>
        <v>#REF!</v>
      </c>
      <c r="AI3" s="1" t="e">
        <f>IF(#REF!,"AAAAABPz/yI=",0)</f>
        <v>#REF!</v>
      </c>
      <c r="AJ3" s="1" t="e">
        <f>AND(#REF!,"AAAAABPz/yM=")</f>
        <v>#REF!</v>
      </c>
      <c r="AK3" s="1" t="e">
        <f>AND(#REF!,"AAAAABPz/yQ=")</f>
        <v>#REF!</v>
      </c>
      <c r="AL3" s="1" t="e">
        <f>AND(#REF!,"AAAAABPz/yU=")</f>
        <v>#REF!</v>
      </c>
      <c r="AM3" s="1" t="e">
        <f>AND(#REF!,"AAAAABPz/yY=")</f>
        <v>#REF!</v>
      </c>
      <c r="AN3" s="1" t="e">
        <f>AND(#REF!,"AAAAABPz/yc=")</f>
        <v>#REF!</v>
      </c>
      <c r="AO3" s="1" t="e">
        <f>AND(#REF!,"AAAAABPz/yg=")</f>
        <v>#REF!</v>
      </c>
      <c r="AP3" s="1" t="e">
        <f>IF(#REF!,"AAAAABPz/yk=",0)</f>
        <v>#REF!</v>
      </c>
      <c r="AQ3" s="1" t="e">
        <f>AND(#REF!,"AAAAABPz/yo=")</f>
        <v>#REF!</v>
      </c>
      <c r="AR3" s="1" t="e">
        <f>AND(#REF!,"AAAAABPz/ys=")</f>
        <v>#REF!</v>
      </c>
      <c r="AS3" s="1" t="e">
        <f>AND(#REF!,"AAAAABPz/yw=")</f>
        <v>#REF!</v>
      </c>
      <c r="AT3" s="1" t="e">
        <f>AND(#REF!,"AAAAABPz/y0=")</f>
        <v>#REF!</v>
      </c>
      <c r="AU3" s="1" t="e">
        <f>AND(#REF!,"AAAAABPz/y4=")</f>
        <v>#REF!</v>
      </c>
      <c r="AV3" s="1" t="e">
        <f>AND(#REF!,"AAAAABPz/y8=")</f>
        <v>#REF!</v>
      </c>
      <c r="AW3" s="1" t="e">
        <f>IF(#REF!,"AAAAABPz/zA=",0)</f>
        <v>#REF!</v>
      </c>
      <c r="AX3" s="1" t="e">
        <f>AND(#REF!,"AAAAABPz/zE=")</f>
        <v>#REF!</v>
      </c>
      <c r="AY3" s="1" t="e">
        <f>AND(#REF!,"AAAAABPz/zI=")</f>
        <v>#REF!</v>
      </c>
      <c r="AZ3" s="1" t="e">
        <f>AND(#REF!,"AAAAABPz/zM=")</f>
        <v>#REF!</v>
      </c>
      <c r="BA3" s="1" t="e">
        <f>AND(#REF!,"AAAAABPz/zQ=")</f>
        <v>#REF!</v>
      </c>
      <c r="BB3" s="1" t="e">
        <f>AND(#REF!,"AAAAABPz/zU=")</f>
        <v>#REF!</v>
      </c>
      <c r="BC3" s="1" t="e">
        <f>AND(#REF!,"AAAAABPz/zY=")</f>
        <v>#REF!</v>
      </c>
      <c r="BD3" s="1" t="e">
        <f>IF(#REF!,"AAAAABPz/zc=",0)</f>
        <v>#REF!</v>
      </c>
      <c r="BE3" s="1" t="e">
        <f>AND(#REF!,"AAAAABPz/zg=")</f>
        <v>#REF!</v>
      </c>
      <c r="BF3" s="1" t="e">
        <f>AND(#REF!,"AAAAABPz/zk=")</f>
        <v>#REF!</v>
      </c>
      <c r="BG3" s="1" t="e">
        <f>AND(#REF!,"AAAAABPz/zo=")</f>
        <v>#REF!</v>
      </c>
      <c r="BH3" s="1" t="e">
        <f>AND(#REF!,"AAAAABPz/zs=")</f>
        <v>#REF!</v>
      </c>
      <c r="BI3" s="1" t="e">
        <f>AND(#REF!,"AAAAABPz/zw=")</f>
        <v>#REF!</v>
      </c>
      <c r="BJ3" s="1" t="e">
        <f>AND(#REF!,"AAAAABPz/z0=")</f>
        <v>#REF!</v>
      </c>
      <c r="BK3" s="1" t="e">
        <f>IF(#REF!,"AAAAABPz/z4=",0)</f>
        <v>#REF!</v>
      </c>
      <c r="BL3" s="1" t="e">
        <f>AND(#REF!,"AAAAABPz/z8=")</f>
        <v>#REF!</v>
      </c>
      <c r="BM3" s="1" t="e">
        <f>AND(#REF!,"AAAAABPz/0A=")</f>
        <v>#REF!</v>
      </c>
      <c r="BN3" s="1" t="e">
        <f>AND(#REF!,"AAAAABPz/0E=")</f>
        <v>#REF!</v>
      </c>
      <c r="BO3" s="1" t="e">
        <f>AND(#REF!,"AAAAABPz/0I=")</f>
        <v>#REF!</v>
      </c>
      <c r="BP3" s="1" t="e">
        <f>AND(#REF!,"AAAAABPz/0M=")</f>
        <v>#REF!</v>
      </c>
      <c r="BQ3" s="1" t="e">
        <f>AND(#REF!,"AAAAABPz/0Q=")</f>
        <v>#REF!</v>
      </c>
      <c r="BR3" s="1" t="e">
        <f>IF(#REF!,"AAAAABPz/0U=",0)</f>
        <v>#REF!</v>
      </c>
      <c r="BS3" s="1" t="e">
        <f>AND(#REF!,"AAAAABPz/0Y=")</f>
        <v>#REF!</v>
      </c>
      <c r="BT3" s="1" t="e">
        <f>AND(#REF!,"AAAAABPz/0c=")</f>
        <v>#REF!</v>
      </c>
      <c r="BU3" s="1" t="e">
        <f>AND(#REF!,"AAAAABPz/0g=")</f>
        <v>#REF!</v>
      </c>
      <c r="BV3" s="1" t="e">
        <f>AND(#REF!,"AAAAABPz/0k=")</f>
        <v>#REF!</v>
      </c>
      <c r="BW3" s="1" t="e">
        <f>AND(#REF!,"AAAAABPz/0o=")</f>
        <v>#REF!</v>
      </c>
      <c r="BX3" s="1" t="e">
        <f>AND(#REF!,"AAAAABPz/0s=")</f>
        <v>#REF!</v>
      </c>
      <c r="BY3" s="1" t="e">
        <f>IF(#REF!,"AAAAABPz/0w=",0)</f>
        <v>#REF!</v>
      </c>
      <c r="BZ3" s="1" t="e">
        <f>AND(#REF!,"AAAAABPz/00=")</f>
        <v>#REF!</v>
      </c>
      <c r="CA3" s="1" t="e">
        <f>AND(#REF!,"AAAAABPz/04=")</f>
        <v>#REF!</v>
      </c>
      <c r="CB3" s="1" t="e">
        <f>AND(#REF!,"AAAAABPz/08=")</f>
        <v>#REF!</v>
      </c>
      <c r="CC3" s="1" t="e">
        <f>AND(#REF!,"AAAAABPz/1A=")</f>
        <v>#REF!</v>
      </c>
      <c r="CD3" s="1" t="e">
        <f>AND(#REF!,"AAAAABPz/1E=")</f>
        <v>#REF!</v>
      </c>
      <c r="CE3" s="1" t="e">
        <f>AND(#REF!,"AAAAABPz/1I=")</f>
        <v>#REF!</v>
      </c>
      <c r="CF3" s="1" t="e">
        <f>IF(#REF!,"AAAAABPz/1M=",0)</f>
        <v>#REF!</v>
      </c>
      <c r="CG3" s="1" t="e">
        <f>AND(#REF!,"AAAAABPz/1Q=")</f>
        <v>#REF!</v>
      </c>
      <c r="CH3" s="1" t="e">
        <f>AND(#REF!,"AAAAABPz/1U=")</f>
        <v>#REF!</v>
      </c>
      <c r="CI3" s="1" t="e">
        <f>AND(#REF!,"AAAAABPz/1Y=")</f>
        <v>#REF!</v>
      </c>
      <c r="CJ3" s="1" t="e">
        <f>AND(#REF!,"AAAAABPz/1c=")</f>
        <v>#REF!</v>
      </c>
      <c r="CK3" s="1" t="e">
        <f>AND(#REF!,"AAAAABPz/1g=")</f>
        <v>#REF!</v>
      </c>
      <c r="CL3" s="1" t="e">
        <f>AND(#REF!,"AAAAABPz/1k=")</f>
        <v>#REF!</v>
      </c>
      <c r="CM3" s="1" t="e">
        <f>IF(#REF!,"AAAAABPz/1o=",0)</f>
        <v>#REF!</v>
      </c>
      <c r="CN3" s="1" t="e">
        <f>AND(#REF!,"AAAAABPz/1s=")</f>
        <v>#REF!</v>
      </c>
      <c r="CO3" s="1" t="e">
        <f>AND(#REF!,"AAAAABPz/1w=")</f>
        <v>#REF!</v>
      </c>
      <c r="CP3" s="1" t="e">
        <f>AND(#REF!,"AAAAABPz/10=")</f>
        <v>#REF!</v>
      </c>
      <c r="CQ3" s="1" t="e">
        <f>AND(#REF!,"AAAAABPz/14=")</f>
        <v>#REF!</v>
      </c>
      <c r="CR3" s="1" t="e">
        <f>AND(#REF!,"AAAAABPz/18=")</f>
        <v>#REF!</v>
      </c>
      <c r="CS3" s="1" t="e">
        <f>AND(#REF!,"AAAAABPz/2A=")</f>
        <v>#REF!</v>
      </c>
      <c r="CT3" s="1" t="e">
        <f>IF(#REF!,"AAAAABPz/2E=",0)</f>
        <v>#REF!</v>
      </c>
      <c r="CU3" s="1" t="e">
        <f>AND(#REF!,"AAAAABPz/2I=")</f>
        <v>#REF!</v>
      </c>
      <c r="CV3" s="1" t="e">
        <f>AND(#REF!,"AAAAABPz/2M=")</f>
        <v>#REF!</v>
      </c>
      <c r="CW3" s="1" t="e">
        <f>AND(#REF!,"AAAAABPz/2Q=")</f>
        <v>#REF!</v>
      </c>
      <c r="CX3" s="1" t="e">
        <f>AND(#REF!,"AAAAABPz/2U=")</f>
        <v>#REF!</v>
      </c>
      <c r="CY3" s="1" t="e">
        <f>AND(#REF!,"AAAAABPz/2Y=")</f>
        <v>#REF!</v>
      </c>
      <c r="CZ3" s="1" t="e">
        <f>AND(#REF!,"AAAAABPz/2c=")</f>
        <v>#REF!</v>
      </c>
      <c r="DA3" s="1" t="e">
        <f>IF(#REF!,"AAAAABPz/2g=",0)</f>
        <v>#REF!</v>
      </c>
      <c r="DB3" s="1" t="e">
        <f>AND(#REF!,"AAAAABPz/2k=")</f>
        <v>#REF!</v>
      </c>
      <c r="DC3" s="1" t="e">
        <f>AND(#REF!,"AAAAABPz/2o=")</f>
        <v>#REF!</v>
      </c>
      <c r="DD3" s="1" t="e">
        <f>AND(#REF!,"AAAAABPz/2s=")</f>
        <v>#REF!</v>
      </c>
      <c r="DE3" s="1" t="e">
        <f>AND(#REF!,"AAAAABPz/2w=")</f>
        <v>#REF!</v>
      </c>
      <c r="DF3" s="1" t="e">
        <f>AND(#REF!,"AAAAABPz/20=")</f>
        <v>#REF!</v>
      </c>
      <c r="DG3" s="1" t="e">
        <f>AND(#REF!,"AAAAABPz/24=")</f>
        <v>#REF!</v>
      </c>
      <c r="DH3" s="1" t="e">
        <f>IF(#REF!,"AAAAABPz/28=",0)</f>
        <v>#REF!</v>
      </c>
      <c r="DI3" s="1" t="e">
        <f>AND(#REF!,"AAAAABPz/3A=")</f>
        <v>#REF!</v>
      </c>
      <c r="DJ3" s="1" t="e">
        <f>AND(#REF!,"AAAAABPz/3E=")</f>
        <v>#REF!</v>
      </c>
      <c r="DK3" s="1" t="e">
        <f>AND(#REF!,"AAAAABPz/3I=")</f>
        <v>#REF!</v>
      </c>
      <c r="DL3" s="1" t="e">
        <f>AND(#REF!,"AAAAABPz/3M=")</f>
        <v>#REF!</v>
      </c>
      <c r="DM3" s="1" t="e">
        <f>AND(#REF!,"AAAAABPz/3Q=")</f>
        <v>#REF!</v>
      </c>
      <c r="DN3" s="1" t="e">
        <f>AND(#REF!,"AAAAABPz/3U=")</f>
        <v>#REF!</v>
      </c>
      <c r="DO3" s="1" t="e">
        <f>IF(#REF!,"AAAAABPz/3Y=",0)</f>
        <v>#REF!</v>
      </c>
      <c r="DP3" s="1" t="e">
        <f>AND(#REF!,"AAAAABPz/3c=")</f>
        <v>#REF!</v>
      </c>
      <c r="DQ3" s="1" t="e">
        <f>AND(#REF!,"AAAAABPz/3g=")</f>
        <v>#REF!</v>
      </c>
      <c r="DR3" s="1" t="e">
        <f>AND(#REF!,"AAAAABPz/3k=")</f>
        <v>#REF!</v>
      </c>
      <c r="DS3" s="1" t="e">
        <f>AND(#REF!,"AAAAABPz/3o=")</f>
        <v>#REF!</v>
      </c>
      <c r="DT3" s="1" t="e">
        <f>AND(#REF!,"AAAAABPz/3s=")</f>
        <v>#REF!</v>
      </c>
      <c r="DU3" s="1" t="e">
        <f>IF(#REF!,"AAAAABPz/3w=",0)</f>
        <v>#REF!</v>
      </c>
      <c r="DV3" s="1" t="e">
        <f>IF(#REF!,"AAAAABPz/30=",0)</f>
        <v>#REF!</v>
      </c>
      <c r="DW3" s="1" t="e">
        <f>IF(#REF!,"AAAAABPz/34=",0)</f>
        <v>#REF!</v>
      </c>
      <c r="DX3" s="1" t="e">
        <f>IF(#REF!,"AAAAABPz/38=",0)</f>
        <v>#REF!</v>
      </c>
      <c r="DY3" s="1" t="e">
        <f>IF(#REF!,"AAAAABPz/4A=",0)</f>
        <v>#REF!</v>
      </c>
      <c r="DZ3" s="1" t="e">
        <f>IF(#REF!,"AAAAABPz/4E=",0)</f>
        <v>#REF!</v>
      </c>
      <c r="EA3" s="1" t="e">
        <f>IF(#REF!,"AAAAABPz/4I=",0)</f>
        <v>#REF!</v>
      </c>
      <c r="EB3" s="1">
        <f>IF('Author and Rec of Changes'!1:1,"AAAAABPz/4M=",0)</f>
        <v>0</v>
      </c>
      <c r="EC3" s="1" t="e">
        <f>AND('Author and Rec of Changes'!A1,"AAAAABPz/4Q=")</f>
        <v>#VALUE!</v>
      </c>
      <c r="ED3" s="1" t="e">
        <f>AND('Author and Rec of Changes'!B1,"AAAAABPz/4U=")</f>
        <v>#VALUE!</v>
      </c>
      <c r="EE3" s="1" t="e">
        <f>AND('Author and Rec of Changes'!C1,"AAAAABPz/4Y=")</f>
        <v>#VALUE!</v>
      </c>
      <c r="EF3" s="1" t="e">
        <f>AND('Author and Rec of Changes'!E1,"AAAAABPz/4c=")</f>
        <v>#VALUE!</v>
      </c>
      <c r="EG3" s="1" t="e">
        <f>AND('Author and Rec of Changes'!F1,"AAAAABPz/4g=")</f>
        <v>#VALUE!</v>
      </c>
      <c r="EH3" s="1" t="e">
        <f>AND('Author and Rec of Changes'!#REF!,"AAAAABPz/4k=")</f>
        <v>#REF!</v>
      </c>
      <c r="EI3" s="1" t="e">
        <f>IF('Author and Rec of Changes'!#REF!,"AAAAABPz/4o=",0)</f>
        <v>#REF!</v>
      </c>
      <c r="EJ3" s="1" t="e">
        <f>AND('Author and Rec of Changes'!#REF!,"AAAAABPz/4s=")</f>
        <v>#REF!</v>
      </c>
      <c r="EK3" s="1" t="e">
        <f>AND('Author and Rec of Changes'!#REF!,"AAAAABPz/4w=")</f>
        <v>#REF!</v>
      </c>
      <c r="EL3" s="1" t="e">
        <f>AND('Author and Rec of Changes'!#REF!,"AAAAABPz/40=")</f>
        <v>#REF!</v>
      </c>
      <c r="EM3" s="1" t="e">
        <f>AND('Author and Rec of Changes'!#REF!,"AAAAABPz/44=")</f>
        <v>#REF!</v>
      </c>
      <c r="EN3" s="1" t="e">
        <f>AND('Author and Rec of Changes'!#REF!,"AAAAABPz/48=")</f>
        <v>#REF!</v>
      </c>
      <c r="EO3" s="1" t="e">
        <f>AND('Author and Rec of Changes'!#REF!,"AAAAABPz/5A=")</f>
        <v>#REF!</v>
      </c>
      <c r="EP3" s="1">
        <f>IF('Author and Rec of Changes'!2:2,"AAAAABPz/5E=",0)</f>
        <v>0</v>
      </c>
      <c r="EQ3" s="1" t="e">
        <f>AND('Author and Rec of Changes'!A2,"AAAAABPz/5I=")</f>
        <v>#VALUE!</v>
      </c>
      <c r="ER3" s="1" t="e">
        <f>AND('Author and Rec of Changes'!B2,"AAAAABPz/5M=")</f>
        <v>#VALUE!</v>
      </c>
      <c r="ES3" s="1" t="e">
        <f>AND('Author and Rec of Changes'!C2,"AAAAABPz/5Q=")</f>
        <v>#VALUE!</v>
      </c>
      <c r="ET3" s="1" t="e">
        <f>AND('Author and Rec of Changes'!E2,"AAAAABPz/5U=")</f>
        <v>#VALUE!</v>
      </c>
      <c r="EU3" s="1" t="e">
        <f>AND('Author and Rec of Changes'!F2,"AAAAABPz/5Y=")</f>
        <v>#VALUE!</v>
      </c>
      <c r="EV3" s="1" t="e">
        <f>AND('Author and Rec of Changes'!#REF!,"AAAAABPz/5c=")</f>
        <v>#REF!</v>
      </c>
      <c r="EW3" s="1">
        <f>IF('Author and Rec of Changes'!3:3,"AAAAABPz/5g=",0)</f>
        <v>0</v>
      </c>
      <c r="EX3" s="1" t="e">
        <f>AND('Author and Rec of Changes'!A3,"AAAAABPz/5k=")</f>
        <v>#VALUE!</v>
      </c>
      <c r="EY3" s="1" t="e">
        <f>AND('Author and Rec of Changes'!B3,"AAAAABPz/5o=")</f>
        <v>#VALUE!</v>
      </c>
      <c r="EZ3" s="1" t="e">
        <f>AND('Author and Rec of Changes'!C3,"AAAAABPz/5s=")</f>
        <v>#VALUE!</v>
      </c>
      <c r="FA3" s="1" t="e">
        <f>AND('Author and Rec of Changes'!E3,"AAAAABPz/5w=")</f>
        <v>#VALUE!</v>
      </c>
      <c r="FB3" s="1" t="e">
        <f>AND('Author and Rec of Changes'!F3,"AAAAABPz/50=")</f>
        <v>#VALUE!</v>
      </c>
      <c r="FC3" s="1" t="e">
        <f>AND('Author and Rec of Changes'!#REF!,"AAAAABPz/54=")</f>
        <v>#REF!</v>
      </c>
      <c r="FD3" s="1" t="e">
        <f>IF('Author and Rec of Changes'!#REF!,"AAAAABPz/58=",0)</f>
        <v>#REF!</v>
      </c>
      <c r="FE3" s="1" t="e">
        <f>AND('Author and Rec of Changes'!#REF!,"AAAAABPz/6A=")</f>
        <v>#REF!</v>
      </c>
      <c r="FF3" s="1" t="e">
        <f>AND('Author and Rec of Changes'!#REF!,"AAAAABPz/6E=")</f>
        <v>#REF!</v>
      </c>
      <c r="FG3" s="1" t="e">
        <f>AND('Author and Rec of Changes'!#REF!,"AAAAABPz/6I=")</f>
        <v>#REF!</v>
      </c>
      <c r="FH3" s="1" t="e">
        <f>AND('Author and Rec of Changes'!#REF!,"AAAAABPz/6M=")</f>
        <v>#REF!</v>
      </c>
      <c r="FI3" s="1" t="e">
        <f>AND('Author and Rec of Changes'!#REF!,"AAAAABPz/6Q=")</f>
        <v>#REF!</v>
      </c>
      <c r="FJ3" s="1" t="e">
        <f>AND('Author and Rec of Changes'!#REF!,"AAAAABPz/6U=")</f>
        <v>#REF!</v>
      </c>
      <c r="FK3" s="1" t="e">
        <f>IF('Author and Rec of Changes'!#REF!,"AAAAABPz/6Y=",0)</f>
        <v>#REF!</v>
      </c>
      <c r="FL3" s="1" t="e">
        <f>AND('Author and Rec of Changes'!#REF!,"AAAAABPz/6c=")</f>
        <v>#REF!</v>
      </c>
      <c r="FM3" s="1" t="e">
        <f>AND('Author and Rec of Changes'!#REF!,"AAAAABPz/6g=")</f>
        <v>#REF!</v>
      </c>
      <c r="FN3" s="1" t="e">
        <f>AND('Author and Rec of Changes'!#REF!,"AAAAABPz/6k=")</f>
        <v>#REF!</v>
      </c>
      <c r="FO3" s="1" t="e">
        <f>AND('Author and Rec of Changes'!#REF!,"AAAAABPz/6o=")</f>
        <v>#REF!</v>
      </c>
      <c r="FP3" s="1" t="e">
        <f>AND('Author and Rec of Changes'!#REF!,"AAAAABPz/6s=")</f>
        <v>#REF!</v>
      </c>
      <c r="FQ3" s="1" t="e">
        <f>AND('Author and Rec of Changes'!#REF!,"AAAAABPz/6w=")</f>
        <v>#REF!</v>
      </c>
      <c r="FR3" s="1">
        <f>IF('Author and Rec of Changes'!4:4,"AAAAABPz/60=",0)</f>
        <v>0</v>
      </c>
      <c r="FS3" s="1" t="e">
        <f>AND('Author and Rec of Changes'!A4,"AAAAABPz/64=")</f>
        <v>#VALUE!</v>
      </c>
      <c r="FT3" s="1" t="e">
        <f>AND('Author and Rec of Changes'!B4,"AAAAABPz/68=")</f>
        <v>#VALUE!</v>
      </c>
      <c r="FU3" s="1" t="e">
        <f>AND('Author and Rec of Changes'!C4,"AAAAABPz/7A=")</f>
        <v>#VALUE!</v>
      </c>
      <c r="FV3" s="1" t="e">
        <f>AND('Author and Rec of Changes'!E4,"AAAAABPz/7E=")</f>
        <v>#VALUE!</v>
      </c>
      <c r="FW3" s="1" t="e">
        <f>AND('Author and Rec of Changes'!F4,"AAAAABPz/7I=")</f>
        <v>#VALUE!</v>
      </c>
      <c r="FX3" s="1" t="e">
        <f>AND('Author and Rec of Changes'!#REF!,"AAAAABPz/7M=")</f>
        <v>#REF!</v>
      </c>
      <c r="FY3" s="1" t="e">
        <f>IF('Author and Rec of Changes'!#REF!,"AAAAABPz/7Q=",0)</f>
        <v>#REF!</v>
      </c>
      <c r="FZ3" s="1" t="e">
        <f>AND('Author and Rec of Changes'!#REF!,"AAAAABPz/7U=")</f>
        <v>#REF!</v>
      </c>
      <c r="GA3" s="1" t="e">
        <f>AND('Author and Rec of Changes'!#REF!,"AAAAABPz/7Y=")</f>
        <v>#REF!</v>
      </c>
      <c r="GB3" s="1" t="e">
        <f>AND('Author and Rec of Changes'!#REF!,"AAAAABPz/7c=")</f>
        <v>#REF!</v>
      </c>
      <c r="GC3" s="1" t="e">
        <f>AND('Author and Rec of Changes'!#REF!,"AAAAABPz/7g=")</f>
        <v>#REF!</v>
      </c>
      <c r="GD3" s="1" t="e">
        <f>AND('Author and Rec of Changes'!#REF!,"AAAAABPz/7k=")</f>
        <v>#REF!</v>
      </c>
      <c r="GE3" s="1" t="e">
        <f>AND('Author and Rec of Changes'!#REF!,"AAAAABPz/7o=")</f>
        <v>#REF!</v>
      </c>
      <c r="GF3" s="1" t="e">
        <f>IF('Author and Rec of Changes'!#REF!,"AAAAABPz/7s=",0)</f>
        <v>#REF!</v>
      </c>
      <c r="GG3" s="1" t="e">
        <f>AND('Author and Rec of Changes'!#REF!,"AAAAABPz/7w=")</f>
        <v>#REF!</v>
      </c>
      <c r="GH3" s="1" t="e">
        <f>AND('Author and Rec of Changes'!#REF!,"AAAAABPz/70=")</f>
        <v>#REF!</v>
      </c>
      <c r="GI3" s="1" t="e">
        <f>AND('Author and Rec of Changes'!#REF!,"AAAAABPz/74=")</f>
        <v>#REF!</v>
      </c>
      <c r="GJ3" s="1" t="e">
        <f>AND('Author and Rec of Changes'!#REF!,"AAAAABPz/78=")</f>
        <v>#REF!</v>
      </c>
      <c r="GK3" s="1" t="e">
        <f>AND('Author and Rec of Changes'!#REF!,"AAAAABPz/8A=")</f>
        <v>#REF!</v>
      </c>
      <c r="GL3" s="1" t="e">
        <f>AND('Author and Rec of Changes'!#REF!,"AAAAABPz/8E=")</f>
        <v>#REF!</v>
      </c>
      <c r="GM3" s="1" t="e">
        <f>IF('Author and Rec of Changes'!#REF!,"AAAAABPz/8I=",0)</f>
        <v>#REF!</v>
      </c>
      <c r="GN3" s="1" t="e">
        <f>AND('Author and Rec of Changes'!#REF!,"AAAAABPz/8M=")</f>
        <v>#REF!</v>
      </c>
      <c r="GO3" s="1" t="e">
        <f>AND('Author and Rec of Changes'!#REF!,"AAAAABPz/8Q=")</f>
        <v>#REF!</v>
      </c>
      <c r="GP3" s="1" t="e">
        <f>AND('Author and Rec of Changes'!#REF!,"AAAAABPz/8U=")</f>
        <v>#REF!</v>
      </c>
      <c r="GQ3" s="1" t="e">
        <f>AND('Author and Rec of Changes'!#REF!,"AAAAABPz/8Y=")</f>
        <v>#REF!</v>
      </c>
      <c r="GR3" s="1" t="e">
        <f>AND('Author and Rec of Changes'!#REF!,"AAAAABPz/8c=")</f>
        <v>#REF!</v>
      </c>
      <c r="GS3" s="1" t="e">
        <f>AND('Author and Rec of Changes'!#REF!,"AAAAABPz/8g=")</f>
        <v>#REF!</v>
      </c>
      <c r="GT3" s="1" t="e">
        <f>IF('Author and Rec of Changes'!#REF!,"AAAAABPz/8k=",0)</f>
        <v>#REF!</v>
      </c>
      <c r="GU3" s="1" t="e">
        <f>AND('Author and Rec of Changes'!#REF!,"AAAAABPz/8o=")</f>
        <v>#REF!</v>
      </c>
      <c r="GV3" s="1" t="e">
        <f>AND('Author and Rec of Changes'!#REF!,"AAAAABPz/8s=")</f>
        <v>#REF!</v>
      </c>
      <c r="GW3" s="1" t="e">
        <f>AND('Author and Rec of Changes'!#REF!,"AAAAABPz/8w=")</f>
        <v>#REF!</v>
      </c>
      <c r="GX3" s="1" t="e">
        <f>AND('Author and Rec of Changes'!#REF!,"AAAAABPz/80=")</f>
        <v>#REF!</v>
      </c>
      <c r="GY3" s="1" t="e">
        <f>AND('Author and Rec of Changes'!#REF!,"AAAAABPz/84=")</f>
        <v>#REF!</v>
      </c>
      <c r="GZ3" s="1" t="e">
        <f>AND('Author and Rec of Changes'!#REF!,"AAAAABPz/88=")</f>
        <v>#REF!</v>
      </c>
      <c r="HA3" s="1" t="e">
        <f>IF('Author and Rec of Changes'!#REF!,"AAAAABPz/9A=",0)</f>
        <v>#REF!</v>
      </c>
      <c r="HB3" s="1" t="e">
        <f>AND('Author and Rec of Changes'!#REF!,"AAAAABPz/9E=")</f>
        <v>#REF!</v>
      </c>
      <c r="HC3" s="1" t="e">
        <f>AND('Author and Rec of Changes'!#REF!,"AAAAABPz/9I=")</f>
        <v>#REF!</v>
      </c>
      <c r="HD3" s="1" t="e">
        <f>AND('Author and Rec of Changes'!#REF!,"AAAAABPz/9M=")</f>
        <v>#REF!</v>
      </c>
      <c r="HE3" s="1" t="e">
        <f>AND('Author and Rec of Changes'!#REF!,"AAAAABPz/9Q=")</f>
        <v>#REF!</v>
      </c>
      <c r="HF3" s="1" t="e">
        <f>AND('Author and Rec of Changes'!#REF!,"AAAAABPz/9U=")</f>
        <v>#REF!</v>
      </c>
      <c r="HG3" s="1" t="e">
        <f>AND('Author and Rec of Changes'!#REF!,"AAAAABPz/9Y=")</f>
        <v>#REF!</v>
      </c>
      <c r="HH3" s="1" t="e">
        <f>IF('Author and Rec of Changes'!#REF!,"AAAAABPz/9c=",0)</f>
        <v>#REF!</v>
      </c>
      <c r="HI3" s="1" t="e">
        <f>AND('Author and Rec of Changes'!#REF!,"AAAAABPz/9g=")</f>
        <v>#REF!</v>
      </c>
      <c r="HJ3" s="1" t="e">
        <f>AND('Author and Rec of Changes'!#REF!,"AAAAABPz/9k=")</f>
        <v>#REF!</v>
      </c>
      <c r="HK3" s="1" t="e">
        <f>AND('Author and Rec of Changes'!#REF!,"AAAAABPz/9o=")</f>
        <v>#REF!</v>
      </c>
      <c r="HL3" s="1" t="e">
        <f>AND('Author and Rec of Changes'!#REF!,"AAAAABPz/9s=")</f>
        <v>#REF!</v>
      </c>
      <c r="HM3" s="1" t="e">
        <f>AND('Author and Rec of Changes'!#REF!,"AAAAABPz/9w=")</f>
        <v>#REF!</v>
      </c>
      <c r="HN3" s="1" t="e">
        <f>AND('Author and Rec of Changes'!#REF!,"AAAAABPz/90=")</f>
        <v>#REF!</v>
      </c>
      <c r="HO3" s="1" t="e">
        <f>IF('Author and Rec of Changes'!#REF!,"AAAAABPz/94=",0)</f>
        <v>#REF!</v>
      </c>
      <c r="HP3" s="1" t="e">
        <f>AND('Author and Rec of Changes'!#REF!,"AAAAABPz/98=")</f>
        <v>#REF!</v>
      </c>
      <c r="HQ3" s="1" t="e">
        <f>AND('Author and Rec of Changes'!#REF!,"AAAAABPz/+A=")</f>
        <v>#REF!</v>
      </c>
      <c r="HR3" s="1" t="e">
        <f>AND('Author and Rec of Changes'!#REF!,"AAAAABPz/+E=")</f>
        <v>#REF!</v>
      </c>
      <c r="HS3" s="1" t="e">
        <f>AND('Author and Rec of Changes'!#REF!,"AAAAABPz/+I=")</f>
        <v>#REF!</v>
      </c>
      <c r="HT3" s="1" t="e">
        <f>AND('Author and Rec of Changes'!#REF!,"AAAAABPz/+M=")</f>
        <v>#REF!</v>
      </c>
      <c r="HU3" s="1" t="e">
        <f>AND('Author and Rec of Changes'!#REF!,"AAAAABPz/+Q=")</f>
        <v>#REF!</v>
      </c>
      <c r="HV3" s="1">
        <f>IF('Author and Rec of Changes'!5:5,"AAAAABPz/+U=",0)</f>
        <v>0</v>
      </c>
      <c r="HW3" s="1" t="e">
        <f>AND('Author and Rec of Changes'!A5,"AAAAABPz/+Y=")</f>
        <v>#VALUE!</v>
      </c>
      <c r="HX3" s="1" t="e">
        <f>AND('Author and Rec of Changes'!B5,"AAAAABPz/+c=")</f>
        <v>#VALUE!</v>
      </c>
      <c r="HY3" s="1" t="e">
        <f>AND('Author and Rec of Changes'!C5,"AAAAABPz/+g=")</f>
        <v>#VALUE!</v>
      </c>
      <c r="HZ3" s="1" t="e">
        <f>AND('Author and Rec of Changes'!E5,"AAAAABPz/+k=")</f>
        <v>#VALUE!</v>
      </c>
      <c r="IA3" s="1" t="e">
        <f>AND('Author and Rec of Changes'!F5,"AAAAABPz/+o=")</f>
        <v>#VALUE!</v>
      </c>
      <c r="IB3" s="1" t="e">
        <f>AND('Author and Rec of Changes'!#REF!,"AAAAABPz/+s=")</f>
        <v>#REF!</v>
      </c>
      <c r="IC3" s="1" t="e">
        <f>IF('Author and Rec of Changes'!#REF!,"AAAAABPz/+w=",0)</f>
        <v>#REF!</v>
      </c>
      <c r="ID3" s="1" t="e">
        <f>AND('Author and Rec of Changes'!#REF!,"AAAAABPz/+0=")</f>
        <v>#REF!</v>
      </c>
      <c r="IE3" s="1" t="e">
        <f>AND('Author and Rec of Changes'!#REF!,"AAAAABPz/+4=")</f>
        <v>#REF!</v>
      </c>
      <c r="IF3" s="1" t="e">
        <f>AND('Author and Rec of Changes'!#REF!,"AAAAABPz/+8=")</f>
        <v>#REF!</v>
      </c>
      <c r="IG3" s="1" t="e">
        <f>AND('Author and Rec of Changes'!#REF!,"AAAAABPz//A=")</f>
        <v>#REF!</v>
      </c>
      <c r="IH3" s="1" t="e">
        <f>AND('Author and Rec of Changes'!#REF!,"AAAAABPz//E=")</f>
        <v>#REF!</v>
      </c>
      <c r="II3" s="1" t="e">
        <f>AND('Author and Rec of Changes'!#REF!,"AAAAABPz//I=")</f>
        <v>#REF!</v>
      </c>
      <c r="IJ3" s="1" t="e">
        <f>IF('Author and Rec of Changes'!#REF!,"AAAAABPz//M=",0)</f>
        <v>#REF!</v>
      </c>
      <c r="IK3" s="1" t="e">
        <f>AND('Author and Rec of Changes'!#REF!,"AAAAABPz//Q=")</f>
        <v>#REF!</v>
      </c>
      <c r="IL3" s="1" t="e">
        <f>AND('Author and Rec of Changes'!#REF!,"AAAAABPz//U=")</f>
        <v>#REF!</v>
      </c>
      <c r="IM3" s="1" t="e">
        <f>AND('Author and Rec of Changes'!#REF!,"AAAAABPz//Y=")</f>
        <v>#REF!</v>
      </c>
      <c r="IN3" s="1" t="e">
        <f>AND('Author and Rec of Changes'!#REF!,"AAAAABPz//c=")</f>
        <v>#REF!</v>
      </c>
      <c r="IO3" s="1" t="e">
        <f>AND('Author and Rec of Changes'!#REF!,"AAAAABPz//g=")</f>
        <v>#REF!</v>
      </c>
      <c r="IP3" s="1" t="e">
        <f>AND('Author and Rec of Changes'!#REF!,"AAAAABPz//k=")</f>
        <v>#REF!</v>
      </c>
      <c r="IQ3" s="1">
        <f>IF('Author and Rec of Changes'!6:6,"AAAAABPz//o=",0)</f>
        <v>0</v>
      </c>
      <c r="IR3" s="1" t="e">
        <f>AND('Author and Rec of Changes'!A6,"AAAAABPz//s=")</f>
        <v>#VALUE!</v>
      </c>
      <c r="IS3" s="1" t="e">
        <f>AND('Author and Rec of Changes'!B6,"AAAAABPz//w=")</f>
        <v>#VALUE!</v>
      </c>
      <c r="IT3" s="1" t="e">
        <f>AND('Author and Rec of Changes'!C6,"AAAAABPz//0=")</f>
        <v>#VALUE!</v>
      </c>
      <c r="IU3" s="1" t="e">
        <f>AND('Author and Rec of Changes'!E6,"AAAAABPz//4=")</f>
        <v>#VALUE!</v>
      </c>
      <c r="IV3" s="1" t="e">
        <f>AND('Author and Rec of Changes'!F6,"AAAAABPz//8=")</f>
        <v>#VALUE!</v>
      </c>
    </row>
    <row r="4" spans="1:256" ht="12.75" customHeight="1">
      <c r="A4" s="1" t="e">
        <f>AND('Author and Rec of Changes'!#REF!,"AAAAAH/rVAA=")</f>
        <v>#REF!</v>
      </c>
      <c r="B4" s="1">
        <f>IF('Author and Rec of Changes'!7:7,"AAAAAH/rVAE=",0)</f>
        <v>0</v>
      </c>
      <c r="C4" s="1" t="e">
        <f>AND('Author and Rec of Changes'!A7,"AAAAAH/rVAI=")</f>
        <v>#VALUE!</v>
      </c>
      <c r="D4" s="1" t="e">
        <f>AND('Author and Rec of Changes'!B7,"AAAAAH/rVAM=")</f>
        <v>#VALUE!</v>
      </c>
      <c r="E4" s="1" t="e">
        <f>AND('Author and Rec of Changes'!C7,"AAAAAH/rVAQ=")</f>
        <v>#VALUE!</v>
      </c>
      <c r="F4" s="1" t="e">
        <f>AND('Author and Rec of Changes'!E7,"AAAAAH/rVAU=")</f>
        <v>#VALUE!</v>
      </c>
      <c r="G4" s="1" t="e">
        <f>AND('Author and Rec of Changes'!F7,"AAAAAH/rVAY=")</f>
        <v>#VALUE!</v>
      </c>
      <c r="H4" s="1" t="e">
        <f>AND('Author and Rec of Changes'!#REF!,"AAAAAH/rVAc=")</f>
        <v>#REF!</v>
      </c>
      <c r="I4" s="1">
        <f>IF('Author and Rec of Changes'!8:8,"AAAAAH/rVAg=",0)</f>
        <v>0</v>
      </c>
      <c r="J4" s="1" t="e">
        <f>AND('Author and Rec of Changes'!A8,"AAAAAH/rVAk=")</f>
        <v>#VALUE!</v>
      </c>
      <c r="K4" s="1" t="e">
        <f>AND('Author and Rec of Changes'!B8,"AAAAAH/rVAo=")</f>
        <v>#VALUE!</v>
      </c>
      <c r="L4" s="1" t="e">
        <f>AND('Author and Rec of Changes'!C8,"AAAAAH/rVAs=")</f>
        <v>#VALUE!</v>
      </c>
      <c r="M4" s="1" t="e">
        <f>AND('Author and Rec of Changes'!E8,"AAAAAH/rVAw=")</f>
        <v>#VALUE!</v>
      </c>
      <c r="N4" s="1" t="e">
        <f>AND('Author and Rec of Changes'!F8,"AAAAAH/rVA0=")</f>
        <v>#VALUE!</v>
      </c>
      <c r="O4" s="1" t="e">
        <f>AND('Author and Rec of Changes'!#REF!,"AAAAAH/rVA4=")</f>
        <v>#REF!</v>
      </c>
      <c r="P4" s="1">
        <f>IF('Author and Rec of Changes'!9:9,"AAAAAH/rVA8=",0)</f>
        <v>0</v>
      </c>
      <c r="Q4" s="1" t="e">
        <f>AND('Author and Rec of Changes'!A9,"AAAAAH/rVBA=")</f>
        <v>#VALUE!</v>
      </c>
      <c r="R4" s="1" t="e">
        <f>AND('Author and Rec of Changes'!B9,"AAAAAH/rVBE=")</f>
        <v>#VALUE!</v>
      </c>
      <c r="S4" s="1" t="e">
        <f>AND('Author and Rec of Changes'!C9,"AAAAAH/rVBI=")</f>
        <v>#VALUE!</v>
      </c>
      <c r="T4" s="1" t="e">
        <f>AND('Author and Rec of Changes'!D9,"AAAAAH/rVBM=")</f>
        <v>#VALUE!</v>
      </c>
      <c r="U4" s="1" t="e">
        <f>AND('Author and Rec of Changes'!E9,"AAAAAH/rVBQ=")</f>
        <v>#VALUE!</v>
      </c>
      <c r="V4" s="1" t="e">
        <f>AND('Author and Rec of Changes'!#REF!,"AAAAAH/rVBU=")</f>
        <v>#REF!</v>
      </c>
      <c r="W4" s="1">
        <f>IF('Author and Rec of Changes'!10:10,"AAAAAH/rVBY=",0)</f>
        <v>0</v>
      </c>
      <c r="X4" s="1">
        <f>IF('Author and Rec of Changes'!11:11,"AAAAAH/rVBc=",0)</f>
        <v>0</v>
      </c>
      <c r="Y4" s="1">
        <f>IF('Author and Rec of Changes'!12:12,"AAAAAH/rVBg=",0)</f>
        <v>0</v>
      </c>
      <c r="Z4" s="1" t="e">
        <f>IF('Author and Rec of Changes'!#REF!,"AAAAAH/rVBk=",0)</f>
        <v>#REF!</v>
      </c>
      <c r="AA4" s="1" t="e">
        <f>IF('Author and Rec of Changes'!#REF!,"AAAAAH/rVBo=",0)</f>
        <v>#REF!</v>
      </c>
      <c r="AB4" s="1" t="e">
        <f>IF('Author and Rec of Changes'!#REF!,"AAAAAH/rVBs=",0)</f>
        <v>#REF!</v>
      </c>
      <c r="AC4" s="1" t="e">
        <f>IF('Author and Rec of Changes'!#REF!,"AAAAAH/rVBw=",0)</f>
        <v>#REF!</v>
      </c>
      <c r="AD4" s="1">
        <f>IF('Author and Rec of Changes'!A:A,"AAAAAH/rVB0=",0)</f>
        <v>0</v>
      </c>
      <c r="AE4" s="1" t="e">
        <f>IF('Author and Rec of Changes'!B:B,"AAAAAH/rVB4=",0)</f>
        <v>#VALUE!</v>
      </c>
      <c r="AF4" s="1">
        <f>IF('Author and Rec of Changes'!C:C,"AAAAAH/rVB8=",0)</f>
        <v>0</v>
      </c>
      <c r="AG4" s="1">
        <f>IF('Author and Rec of Changes'!E:E,"AAAAAH/rVCA=",0)</f>
        <v>0</v>
      </c>
      <c r="AH4" s="1">
        <f>IF('Author and Rec of Changes'!F:F,"AAAAAH/rVCE=",0)</f>
        <v>0</v>
      </c>
      <c r="AI4" s="1" t="e">
        <f>IF('Author and Rec of Changes'!#REF!,"AAAAAH/rVCI=",0)</f>
        <v>#REF!</v>
      </c>
      <c r="AJ4" s="1" t="s">
        <v>279</v>
      </c>
      <c r="AK4" s="27" t="s">
        <v>280</v>
      </c>
      <c r="AL4" s="28" t="s">
        <v>281</v>
      </c>
      <c r="AM4" s="1" t="e">
        <f>IF("N",_FilterDatabase,"AAAAAH/rVCY=")</f>
        <v>#VALUE!</v>
      </c>
    </row>
    <row r="5" spans="1:256" ht="12.75" customHeight="1">
      <c r="A5" s="1" t="e">
        <f>AND(Syllabus!A1,"AAAAACvx+wA=")</f>
        <v>#VALUE!</v>
      </c>
      <c r="B5" s="1" t="e">
        <f>IF(Syllabus!#REF!,"AAAAACvx+wE=",0)</f>
        <v>#REF!</v>
      </c>
      <c r="C5" s="1" t="e">
        <f>AND(Syllabus!#REF!,"AAAAACvx+wI=")</f>
        <v>#REF!</v>
      </c>
      <c r="D5" s="1" t="e">
        <f>AND(Syllabus!#REF!,"AAAAACvx+wM=")</f>
        <v>#REF!</v>
      </c>
      <c r="E5" s="1" t="e">
        <f>AND(Syllabus!#REF!,"AAAAACvx+wQ=")</f>
        <v>#REF!</v>
      </c>
      <c r="F5" s="1" t="e">
        <f>AND(Syllabus!#REF!,"AAAAACvx+wU=")</f>
        <v>#REF!</v>
      </c>
      <c r="G5" s="1" t="e">
        <f>AND(Syllabus!#REF!,"AAAAACvx+wY=")</f>
        <v>#REF!</v>
      </c>
      <c r="H5" s="1" t="e">
        <f>AND(Syllabus!#REF!,"AAAAACvx+wc=")</f>
        <v>#REF!</v>
      </c>
      <c r="I5" s="1" t="e">
        <f>AND(Syllabus!#REF!,"AAAAACvx+wg=")</f>
        <v>#REF!</v>
      </c>
      <c r="J5" s="1" t="e">
        <f>IF(Syllabus!#REF!,"AAAAACvx+wk=",0)</f>
        <v>#REF!</v>
      </c>
      <c r="K5" s="1" t="e">
        <f>AND(Syllabus!#REF!,"AAAAACvx+wo=")</f>
        <v>#REF!</v>
      </c>
      <c r="L5" s="1" t="e">
        <f>AND(Syllabus!#REF!,"AAAAACvx+ws=")</f>
        <v>#REF!</v>
      </c>
      <c r="M5" s="1" t="e">
        <f>AND(Syllabus!#REF!,"AAAAACvx+ww=")</f>
        <v>#REF!</v>
      </c>
      <c r="N5" s="1" t="e">
        <f>AND(Syllabus!#REF!,"AAAAACvx+w0=")</f>
        <v>#REF!</v>
      </c>
      <c r="O5" s="1" t="e">
        <f>AND(Syllabus!#REF!,"AAAAACvx+w4=")</f>
        <v>#REF!</v>
      </c>
      <c r="P5" s="1" t="e">
        <f>AND(Syllabus!#REF!,"AAAAACvx+w8=")</f>
        <v>#REF!</v>
      </c>
      <c r="Q5" s="1" t="e">
        <f>AND(Syllabus!#REF!,"AAAAACvx+xA=")</f>
        <v>#REF!</v>
      </c>
    </row>
  </sheetData>
  <pageMargins left="0.7" right="0.7" top="0.75" bottom="0.75" header="0" footer="0"/>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4d22854-e306-478f-bdc8-d341a49ba7cf" xsi:nil="true"/>
    <lcf76f155ced4ddcb4097134ff3c332f xmlns="fdf7c76c-27fb-4e64-a31b-b327cd9dae2a">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528CF09F394974384566E65EE47413A" ma:contentTypeVersion="16" ma:contentTypeDescription="Create a new document." ma:contentTypeScope="" ma:versionID="98ddfa782b9d669c37fbc1536131ed92">
  <xsd:schema xmlns:xsd="http://www.w3.org/2001/XMLSchema" xmlns:xs="http://www.w3.org/2001/XMLSchema" xmlns:p="http://schemas.microsoft.com/office/2006/metadata/properties" xmlns:ns1="http://schemas.microsoft.com/sharepoint/v3" xmlns:ns2="fdf7c76c-27fb-4e64-a31b-b327cd9dae2a" xmlns:ns3="14d22854-e306-478f-bdc8-d341a49ba7cf" targetNamespace="http://schemas.microsoft.com/office/2006/metadata/properties" ma:root="true" ma:fieldsID="aa6127014cd717b31eed7c49a1ce335a" ns1:_="" ns2:_="" ns3:_="">
    <xsd:import namespace="http://schemas.microsoft.com/sharepoint/v3"/>
    <xsd:import namespace="fdf7c76c-27fb-4e64-a31b-b327cd9dae2a"/>
    <xsd:import namespace="14d22854-e306-478f-bdc8-d341a49ba7c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f7c76c-27fb-4e64-a31b-b327cd9dae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97e1a9-fa82-4965-b735-0e061acf926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d22854-e306-478f-bdc8-d341a49ba7c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fea1e68-4573-45f1-999c-2bd3829cc08b}" ma:internalName="TaxCatchAll" ma:showField="CatchAllData" ma:web="14d22854-e306-478f-bdc8-d341a49ba7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DC2122-E04B-4258-BD5B-1F0A5A0266A8}"/>
</file>

<file path=customXml/itemProps2.xml><?xml version="1.0" encoding="utf-8"?>
<ds:datastoreItem xmlns:ds="http://schemas.openxmlformats.org/officeDocument/2006/customXml" ds:itemID="{DD440BEC-789D-4F13-BD43-44139D88A8FA}"/>
</file>

<file path=customXml/itemProps3.xml><?xml version="1.0" encoding="utf-8"?>
<ds:datastoreItem xmlns:ds="http://schemas.openxmlformats.org/officeDocument/2006/customXml" ds:itemID="{CEB40273-666E-45AF-B582-F155A094DCEF}"/>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Thi Dieu (FHO.WD)</dc:creator>
  <cp:keywords/>
  <dc:description/>
  <cp:lastModifiedBy/>
  <cp:revision/>
  <dcterms:created xsi:type="dcterms:W3CDTF">2010-11-19T03:46:05Z</dcterms:created>
  <dcterms:modified xsi:type="dcterms:W3CDTF">2026-05-07T03:10:19Z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0x0101004528CF09F394974384566E65EE47413A</vt:lpwstr>
  </property>
  <property fmtid="{D5CDD505-2E9C-101B-9397-08002B2CF9AE}" pid="4" name="MediaServiceImageTags">
    <vt:lpwstr/>
  </property>
  <property fmtid="{D5CDD505-2E9C-101B-9397-08002B2CF9AE}" pid="5" name="Order">
    <vt:r8>150806300</vt:r8>
  </property>
  <property fmtid="{D5CDD505-2E9C-101B-9397-08002B2CF9AE}" pid="6" name="TriggerFlowInfo">
    <vt:lpwstr/>
  </property>
  <property fmtid="{D5CDD505-2E9C-101B-9397-08002B2CF9AE}" pid="7" name="_ExtendedDescription">
    <vt:lpwstr/>
  </property>
</Properties>
</file>