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fptsoftware362-my.sharepoint.com/personal/linhhd5_fpt_com/Documents/LS - Trainers 3 Sites/Fast Tracks/"/>
    </mc:Choice>
  </mc:AlternateContent>
  <xr:revisionPtr revIDLastSave="0" documentId="8_{A6044016-6664-45F7-A447-3BE120B041E8}" xr6:coauthVersionLast="47" xr6:coauthVersionMax="47" xr10:uidLastSave="{00000000-0000-0000-0000-000000000000}"/>
  <bookViews>
    <workbookView xWindow="-110" yWindow="-110" windowWidth="19420" windowHeight="11500" xr2:uid="{23817710-F263-4F44-BBB0-9CCC546CAB2A}"/>
  </bookViews>
  <sheets>
    <sheet name="SE_NodeJS_Framework" sheetId="1" r:id="rId1"/>
    <sheet name="SE_Dev2_NodeJS_Syllabus Detail" sheetId="9" r:id="rId2"/>
    <sheet name="SE_Dev3_NodeJS_Syllabus Detail" sheetId="10" r:id="rId3"/>
    <sheet name="Syllabus_Refs" sheetId="5" r:id="rId4"/>
    <sheet name="Guide" sheetId="4" r:id="rId5"/>
  </sheets>
  <definedNames>
    <definedName name="_xlnm._FilterDatabase" localSheetId="0" hidden="1">SE_NodeJS_Framework!$E$2:$M$2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7" i="9" l="1"/>
  <c r="C102" i="10"/>
  <c r="C101" i="10"/>
  <c r="C103" i="10"/>
  <c r="C98" i="9"/>
  <c r="C9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tc={58371439-DDFC-48D4-AC8E-77DE3880870A}</author>
  </authors>
  <commentList>
    <comment ref="H9" authorId="0" shapeId="0" xr:uid="{58371439-DDFC-48D4-AC8E-77DE3880870A}">
      <text>
        <t>[Threaded comment]
Your version of Excel allows you to read this threaded comment; however, any edits to it will get removed if the file is opened in a newer version of Excel. Learn more: https://go.microsoft.com/fwlink/?linkid=870924
Comment:
    TDD -&gt; Optional</t>
      </text>
    </comment>
  </commentList>
</comments>
</file>

<file path=xl/sharedStrings.xml><?xml version="1.0" encoding="utf-8"?>
<sst xmlns="http://schemas.openxmlformats.org/spreadsheetml/2006/main" count="1131" uniqueCount="459">
  <si>
    <t>#</t>
  </si>
  <si>
    <t>Category</t>
  </si>
  <si>
    <t>Modules/Units</t>
  </si>
  <si>
    <t>Level Dev 2</t>
  </si>
  <si>
    <t>Level Dev 3</t>
  </si>
  <si>
    <t>FSU Choose</t>
  </si>
  <si>
    <t>Durations 
(hours)</t>
  </si>
  <si>
    <t>Durations 
(weeks)</t>
  </si>
  <si>
    <t>Mức độ ưu tiên</t>
  </si>
  <si>
    <t>Mô tả mục tiêu</t>
  </si>
  <si>
    <t>Core knowledge in Advanced</t>
  </si>
  <si>
    <t>OOP, SOLID, Design Patterns</t>
  </si>
  <si>
    <t>6-10</t>
  </si>
  <si>
    <t>1 week</t>
  </si>
  <si>
    <t>Mandatory</t>
  </si>
  <si>
    <t>- Understand the importance of Clean Code and be able to explain the Single Responsibility Principle (SRP) with examples.
- Present and apply the Open/Closed Principle (OCP) and Liskov Substitution Principle (LSP) to design flexible systems.
- Differentiate and apply the Interface Segregation Principle (ISP) and Dependency Inversion Principle (DIP) to reduce coupling between modules.
- Master the refactoring techniques of Extract Method and Extract Class to improve code structure.
- Apply the 'Replace Conditional with Polymorphism' refactoring technique to eliminate complex conditional statements.
- Understand and implement the Factory Method and Singleton design patterns in appropriate scenarios.
- Apply the Observer, Strategy patterns, and the Dependency Injection (DI) principle to build maintainable and extensible code.</t>
  </si>
  <si>
    <t>- Explain the goals of Clean/Hexagonal Architecture and the importance of the Dependency Inversion Principle on an architectural scale.
- Design application core logic independently of external technologies by defining clear Port interfaces and implementing Adapters.
- Structure the application to protect the core domain logic from infrastructure concerns and design for future extensibility.
- Design systems where read and write operations are modeled and scaled independently to optimize performance and complexity.
- Implement an Event Sourcing pattern to capture all changes to an application state as an immutable sequence of events.
- Implement the Saga pattern to maintain data consistency across multiple microservices without using traditional distributed transactions.
- Implement the Circuit Breaker pattern to increase system resilience by isolating failing services and preventing error propagation.</t>
  </si>
  <si>
    <t>Database Advanced</t>
  </si>
  <si>
    <t>- Understand how the EXPLAIN PLAN
- command works and use it to analyze the performance of an SQL query.
- Explain the structure and working principle of B-Tree Indexes, and when to use them.
- Design and apply Composite Indexes and Covering Indexes to optimize complex queries.
- Understand the benefits of Connection Pooling and know how to configure a basic connection pool for an application.
- Differentiate and describe common caching strategies such as Cache-aside and Read-through.
- Install and perform basic operations with Redis (SET, GET, HSET,...) via the command line.
- Integrate Redis into a simple application to implement caching for database queries.</t>
  </si>
  <si>
    <t>- Explain the trade-offs defined by the CAP theorem and how they influence the design of distributed databases.
- Apply the PACELC theorem to make more nuanced architectural decisions regarding database selection based on system requirements.
- Differentiate between various consistency models and choose the appropriate model for different parts of a distributed application.
- Design a database replication strategy to improve read throughput and ensure data redundancy for disaster recovery.
- Evaluate the trade-offs between synchronous and asynchronous replication and select the appropriate strategy for a given use case.
- Explain how sharding helps to scale databases horizontally and distribute write load across multiple nodes.
- Design and implement a database sharding strategy while considering potential issues and how to mitigate them.</t>
  </si>
  <si>
    <t>Testing Strategies</t>
  </si>
  <si>
    <t>Describe the Testing Pyramid model and the role of each layer (Unit, Integration, E2E). Write and run basic Unit Tests for simple functions using Jest (or an equivalent framework).
Clearly distinguish between Unit Tests and Integration Tests, understand the scope and purpose of Integration Tests.
"Understand capabilities of SuperTest. 
Writing integration test for NodeJS application with SuperTest "
Understand mswjs cababilities for testing NodeJS application.</t>
  </si>
  <si>
    <t>Define the goals of performance testing and differentiate between load, stress, and soak testing.
Write and execute a basic load test script against an API endpoint to simulate user traffic.
Interpret performance test reports to pinpoint performance bottlenecks and suggest potential optimizations.
Explain why traditional integration tests are difficult to maintain in a microservices architecture and how contract testing solves this problem.
Implement a consumer-driven contract test to ensure that a provider service meets the expectations of its consumer without requiring full integration.
Understand the methodology of Chaos Engineering and its importance in building confidence in a system's ability to withstand turbulent conditions.
Design and execute a simple chaos experiment to test a specific system hypothesis, such as how the system behaves when a key dependency is unavailable.</t>
  </si>
  <si>
    <t>Software Development Framework</t>
  </si>
  <si>
    <t>Back-end Development</t>
  </si>
  <si>
    <t>10-15</t>
  </si>
  <si>
    <t>2 weeks</t>
  </si>
  <si>
    <t>Back-end language and framework (Spring, .NET, Django, FastAPI, NestJS, ...)</t>
  </si>
  <si>
    <t>Front-end Development</t>
  </si>
  <si>
    <t>Option</t>
  </si>
  <si>
    <t>Front-end framework (Angular, Vue, React, Next, ...)</t>
  </si>
  <si>
    <t>15-20</t>
  </si>
  <si>
    <t>Mobile Development</t>
  </si>
  <si>
    <t>Mobile development framework (Flutter, React Native, Swift, Kotlin,...)</t>
  </si>
  <si>
    <t>Software Architecture &amp; Design</t>
  </si>
  <si>
    <t>Software Design</t>
  </si>
  <si>
    <t>- Refactor a provided monolithic feature using at least two design patterns; justify design decisions in a short design note.
- Decompose an application into Presentation, Business Logic, and Data Access layers; draw Class and Sequence diagrams for a feature.
- Design resource-oriented endpoints; choose correct HTTP methods and status codes; apply URI versioning strategy.
- Produce a UML class diagram and an OpenAPI specification for a given business domain, applying SOLID and layering principles.</t>
  </si>
  <si>
    <t>- Apply cache-aside and write-through patterns; handle cache invalidation; choose the right cache layer (CDN, app, DB).
- Quantify NFRs (SLA, RTO, RPO); design for horizontal scaling; apply circuit breaker and bulkhead resilience patterns.
- Integrate OAuth2/JWT authentication flows; identify OWASP Top 10 vulnerabilities; conduct a basic threat model on a service.
- Apply pagination, filtering, and HATEOAS to REST APIs; compare REST vs GraphQL vs gRPC for synchronous service communication.
- Plan an incremental migration using the Strangler Fig pattern; prioritise and present technical debt to engineering leadership.
- Produce a complete architecture document with component diagrams, API contracts, and an NFR matrix for a given business problem.</t>
  </si>
  <si>
    <t>Microservices Architecture and Implementation</t>
  </si>
  <si>
    <t>Understand the philosophy, pros, and cons of Microservices Architecture and Domain-Driven Design (DDD).
Build independent microservices using  (Clean Architecture, APIs).
Master application packaging (Containerization) with Docker and Docker Compose.
Proficiently apply synchronous communication (REST, gRPC) and basic asynchronous communication (RabbitMQ).
Secure the system with API Gateway  &amp; Identity Provider.</t>
  </si>
  <si>
    <t>`- Manage safely Distributed Data through CQRS, Event Sourcing, and Event-driven architecture.
- Design highly resilient systems utilizing Circuit Breakers, Dead Letter Queues, and Saga / Compensating Transactions.
- Deploy comprehensive enterprise-standard Observability &amp; Monitoring (Logs/Traces/Metrics).
- Master Infrastructure as Code (Terraform) and Kubernetes Cluster management (K8s, Helm).
- Set up automated CI/CD pipelines for deployment processes.
-Integrate state-of-the-art AI libraries (Semantic Kernel, LLM) into Microservices.</t>
  </si>
  <si>
    <t>Cloud/DevOps</t>
  </si>
  <si>
    <t>DevOps &amp; Infra</t>
  </si>
  <si>
    <r>
      <rPr>
        <sz val="11"/>
        <color rgb="FF000000"/>
        <rFont val="Aptos Narrow"/>
        <scheme val="minor"/>
      </rPr>
      <t xml:space="preserve">Containerization (Docker),
CI/CD pipelines,
Mastering core Compute/Storage services
</t>
    </r>
    <r>
      <rPr>
        <b/>
        <sz val="11"/>
        <color rgb="FF000000"/>
        <rFont val="Aptos Narrow"/>
        <scheme val="minor"/>
      </rPr>
      <t>(on AWS, Azure, or GCP - choose one of the three cloud platforms)</t>
    </r>
  </si>
  <si>
    <r>
      <rPr>
        <sz val="11"/>
        <color rgb="FF000000"/>
        <rFont val="Aptos Narrow"/>
        <scheme val="minor"/>
      </rPr>
      <t xml:space="preserve">Kubernetes
Infrastructure as Code (Terraform)
Designing multi-region, high-availability systems. Implementing FinOps (Cloud cost optimization).
</t>
    </r>
    <r>
      <rPr>
        <b/>
        <i/>
        <sz val="11"/>
        <color rgb="FF000000"/>
        <rFont val="Aptos Narrow"/>
        <scheme val="minor"/>
      </rPr>
      <t>(on AWS, Azure, or GCP - choose one of the three cloud platforms)</t>
    </r>
  </si>
  <si>
    <t>AWS Cloud</t>
  </si>
  <si>
    <t>AWS Cloud Fundamentals (CLF-C01), SysOps</t>
  </si>
  <si>
    <t xml:space="preserve">Containers, Serverless &amp; Advanced IaC
Advanced Security, Observability &amp; Cost
GitOps, DevSecOps </t>
  </si>
  <si>
    <t>Azure cloud</t>
  </si>
  <si>
    <t>Optional</t>
  </si>
  <si>
    <t>AZ-900, AZ-104, AZ-204</t>
  </si>
  <si>
    <t>AZ-104, AZ-204, AZ-305, AZ-400</t>
  </si>
  <si>
    <t>GCP Cloud</t>
  </si>
  <si>
    <t>Cloud Digital Leader/Associate Cloud Engineer (ACE)</t>
  </si>
  <si>
    <t>Professional Google Cloud (Architect/Developer /DevOps Developer)</t>
  </si>
  <si>
    <t>Cloud AI</t>
  </si>
  <si>
    <t>AWS Cloud AI</t>
  </si>
  <si>
    <t>AWS Certified AI Practitioner - Foundation</t>
  </si>
  <si>
    <t>AWS Certified Generative AI Developer  - Professional</t>
  </si>
  <si>
    <t>AWS Certified Machine Learning Engineer (Associate)</t>
  </si>
  <si>
    <t>Azure Cloud AI</t>
  </si>
  <si>
    <t>Azure AI Fundamentals (AI-900/AI-901)</t>
  </si>
  <si>
    <t>AI-102</t>
  </si>
  <si>
    <t>AI-103</t>
  </si>
  <si>
    <t>GCP Cloud AI</t>
  </si>
  <si>
    <t>Generative AI Leader</t>
  </si>
  <si>
    <t xml:space="preserve"> Professional Machine Learning Engineer</t>
  </si>
  <si>
    <t>Google AI Professional Certificate</t>
  </si>
  <si>
    <t>Soft skills</t>
  </si>
  <si>
    <t>3-6</t>
  </si>
  <si>
    <t>FSU proposal base on Demand</t>
  </si>
  <si>
    <t>Specific domain</t>
  </si>
  <si>
    <t>Specific skill base on FSU demand</t>
  </si>
  <si>
    <t>Specific</t>
  </si>
  <si>
    <t>Training Unit/Chapter</t>
  </si>
  <si>
    <t>Day</t>
  </si>
  <si>
    <t>Content</t>
  </si>
  <si>
    <t>Learning Objectives</t>
  </si>
  <si>
    <t>Delivery Type</t>
  </si>
  <si>
    <t>Duration (hours)</t>
  </si>
  <si>
    <t>Training Format</t>
  </si>
  <si>
    <t>Trainer</t>
  </si>
  <si>
    <t>Training Materials / Logistics &amp; General Notes
(Required, For Reference, etc.)</t>
  </si>
  <si>
    <t>Introduction to Clean Code &amp; Single Responsibility Principle (SRP)</t>
  </si>
  <si>
    <t>Understand the importance of Clean Code and be able to explain the Single Responsibility Principle (SRP) with examples.</t>
  </si>
  <si>
    <t>Online</t>
  </si>
  <si>
    <t>Assignment</t>
  </si>
  <si>
    <t>Offline</t>
  </si>
  <si>
    <t>Open/Closed Principle (OCP) &amp; Liskov Substitution Principle (LSP)</t>
  </si>
  <si>
    <t>Present and apply the Open/Closed Principle (OCP) and Liskov Substitution Principle (LSP) to design flexible systems.</t>
  </si>
  <si>
    <t>Interface Segregation Principle (ISP) &amp; Dependency Inversion Principle (DIP)</t>
  </si>
  <si>
    <t>Differentiate and apply the Interface Segregation Principle (ISP) and Dependency Inversion Principle (DIP) to reduce coupling between modules.</t>
  </si>
  <si>
    <t>Basic Refactoring Techniques: Extract Method, Extract Class</t>
  </si>
  <si>
    <t>Master the refactoring techniques of Extract Method and Extract Class to improve code structure.</t>
  </si>
  <si>
    <t>Advanced Refactoring Technique: Replace Conditional with Polymorphism</t>
  </si>
  <si>
    <t>Apply the 'Replace Conditional with Polymorphism' refactoring technique to eliminate complex conditional statements.</t>
  </si>
  <si>
    <t>Design Patterns (Creational): Factory Method, Singleton (optional)</t>
  </si>
  <si>
    <t>Understand and implement the Factory Method and Singleton design patterns in appropriate scenarios.</t>
  </si>
  <si>
    <t>Design Patterns (Behavioral): Observer, Strategy &amp; Dependency Injection (DI)</t>
  </si>
  <si>
    <t>Apply the Observer, Strategy patterns, and the Dependency Injection (DI) principle to build maintainable and extensible code.</t>
  </si>
  <si>
    <t>Database Advance</t>
  </si>
  <si>
    <t>Introduction to SQL Optimization &amp; Query Analysis with Explain Plan</t>
  </si>
  <si>
    <t>Understand how the EXPLAIN PLAN
command works and use it to analyze the performance of an SQL query.</t>
  </si>
  <si>
    <t>Basic Index Types (B-Tree) and How They Work</t>
  </si>
  <si>
    <t>Explain the structure and working principle of B-Tree Indexes, and when to use them.</t>
  </si>
  <si>
    <t>Advanced Indexing: Composite Index, Covering Index, and Best Practices</t>
  </si>
  <si>
    <t>Design and apply Composite Indexes and Covering Indexes to optimize complex queries.</t>
  </si>
  <si>
    <t>Connection Pooling: Principles and Configuration</t>
  </si>
  <si>
    <t>Understand the benefits of Connection Pooling and know how to configure a basic connection pool for an application.</t>
  </si>
  <si>
    <t>Introduction to Caching: Caching Strategies (Cache-aside, Read-through)</t>
  </si>
  <si>
    <t>Differentiate and describe common caching strategies such as Cache-aside and Read-through.</t>
  </si>
  <si>
    <t>Introduction and Setup of Redis: Data types and basic commands</t>
  </si>
  <si>
    <t>Install and perform basic operations with Redis (SET, GET, HSET,...) via the command line.</t>
  </si>
  <si>
    <t>Hands-on: Implementing Multi-level Caching with Redis</t>
  </si>
  <si>
    <t>Integrate Redis into a simple application to implement caching for database queries.</t>
  </si>
  <si>
    <t>NodeJS Testing Strategies</t>
  </si>
  <si>
    <t>Overview of the Testing Pyramid
Unit Testing: Introduction to Jest  and writing basic test cases</t>
  </si>
  <si>
    <t>Describe the Testing Pyramid model and the role of each layer (Unit, Integration, E2E). Write and run basic Unit Tests for simple functions using Jest (or an equivalent framework).</t>
  </si>
  <si>
    <t>2-3</t>
  </si>
  <si>
    <t>Integration Testing: Concepts and differences from Unit Testing</t>
  </si>
  <si>
    <t>Clearly distinguish between Unit Tests and Integration Tests, understand the scope and purpose of Integration Tests.</t>
  </si>
  <si>
    <t>4-5</t>
  </si>
  <si>
    <t>Intgeration Testing with SuperTest</t>
  </si>
  <si>
    <t xml:space="preserve">Understand capabilities of SuperTest. 
Writing integration test for NodeJS application with SuperTest </t>
  </si>
  <si>
    <t>6-7</t>
  </si>
  <si>
    <t>Mocking API with mswjs</t>
  </si>
  <si>
    <t>Understand mswjs cababilities for testing NodeJS application.</t>
  </si>
  <si>
    <t>NodeJS Backend Development</t>
  </si>
  <si>
    <r>
      <rPr>
        <b/>
        <sz val="11"/>
        <color rgb="FF000000"/>
        <rFont val="Aptos Narrow"/>
        <scheme val="minor"/>
      </rPr>
      <t xml:space="preserve">JavaScript Advance Concepts and Modern syntax
</t>
    </r>
    <r>
      <rPr>
        <sz val="11"/>
        <color rgb="FF000000"/>
        <rFont val="Aptos Narrow"/>
        <scheme val="minor"/>
      </rPr>
      <t>- Closure, Hoisting, Implicit Coercion
- ES6 Basic: Arrow function, Template literal, Block-scoped variable, Destructuring, Class, Promise
- OOP: Limitation of JavaScript for OOP</t>
    </r>
  </si>
  <si>
    <t>Understand how compilation mechanism of JavaScript works in depth. Apply ES6 features and OOP paradigm to develop JavaScript application</t>
  </si>
  <si>
    <r>
      <rPr>
        <b/>
        <sz val="11"/>
        <color rgb="FF000000"/>
        <rFont val="Aptos Narrow"/>
        <scheme val="minor"/>
      </rPr>
      <t xml:space="preserve">Node architecture
</t>
    </r>
    <r>
      <rPr>
        <sz val="11"/>
        <color rgb="FF000000"/>
        <rFont val="Aptos Narrow"/>
        <scheme val="minor"/>
      </rPr>
      <t xml:space="preserve">- v8 Engine, libuv, event loop
- Blocking &amp; Non-blocking I/O
</t>
    </r>
  </si>
  <si>
    <t>Understand core components in NodeJS architecture and how asynchronous tasks are handled in NodeJS</t>
  </si>
  <si>
    <r>
      <rPr>
        <b/>
        <sz val="11"/>
        <color rgb="FF000000"/>
        <rFont val="Aptos Narrow"/>
      </rPr>
      <t xml:space="preserve">Type-safe ExpressJS Application with TypeScript
</t>
    </r>
    <r>
      <rPr>
        <sz val="11"/>
        <color rgb="FF000000"/>
        <rFont val="Aptos Narrow"/>
      </rPr>
      <t>- Node package manager (npm)
- TypeScript
- TypeScript setup for NodeJS Application (ts-node)
- TypeScript in ExpressJS</t>
    </r>
  </si>
  <si>
    <t>Understand and implement basic asynchronous tasks to improve application responsiveness. Apply effectively asynchronous pattern to handle non-blocking I/O tasks.</t>
  </si>
  <si>
    <r>
      <rPr>
        <b/>
        <sz val="11"/>
        <color rgb="FF000000"/>
        <rFont val="Aptos Narrow"/>
        <scheme val="minor"/>
      </rPr>
      <t xml:space="preserve">Asynchronous pattern
</t>
    </r>
    <r>
      <rPr>
        <sz val="11"/>
        <color rgb="FF000000"/>
        <rFont val="Aptos Narrow"/>
        <scheme val="minor"/>
      </rPr>
      <t xml:space="preserve">- Callback patterns with callback hell issue
- Promise chaining
- Async/await
- Parallel execution
- Event emitters
- Async iterators
- RxJS observables
- Applying async patterns in core module (http, fs, path)
</t>
    </r>
  </si>
  <si>
    <t>Understand NodeJS core modules and apply them to write function and handle I/O. Apply npm, nvm and typescript for managing external dependencies</t>
  </si>
  <si>
    <r>
      <rPr>
        <b/>
        <sz val="11"/>
        <color rgb="FF000000"/>
        <rFont val="Aptos Narrow"/>
        <scheme val="minor"/>
      </rPr>
      <t xml:space="preserve">NestJS Core
</t>
    </r>
    <r>
      <rPr>
        <sz val="11"/>
        <color rgb="FF000000"/>
        <rFont val="Aptos Narrow"/>
        <scheme val="minor"/>
      </rPr>
      <t>- Nest CLI
- Core components: Controllers, Providers, Modules
- Middleware, Exception Filters, Pipes, Guards, Interceptors
- Custom decorators</t>
    </r>
  </si>
  <si>
    <t xml:space="preserve">Understand NestJS core components. Implement backend RESTful API with NestJS framework. </t>
  </si>
  <si>
    <r>
      <rPr>
        <b/>
        <sz val="11"/>
        <color rgb="FF000000"/>
        <rFont val="Aptos Narrow"/>
        <scheme val="minor"/>
      </rPr>
      <t xml:space="preserve">Database mapping with TypeORM
</t>
    </r>
    <r>
      <rPr>
        <sz val="11"/>
        <color rgb="FF000000"/>
        <rFont val="Aptos Narrow"/>
        <scheme val="minor"/>
      </rPr>
      <t xml:space="preserve">- TypeORM core concepts: entity, relation, querybuilder, crud operations
- Database migrations and rollback
</t>
    </r>
  </si>
  <si>
    <t>Understand TypeORM core concepts and functions. Apply querybuilder to perform CRUD operations to manage application persistent data as well as implementing and running migrations</t>
  </si>
  <si>
    <r>
      <rPr>
        <b/>
        <sz val="11"/>
        <color rgb="FF000000"/>
        <rFont val="Aptos Narrow"/>
        <scheme val="minor"/>
      </rPr>
      <t xml:space="preserve">NestJS caching with node-redis
- </t>
    </r>
    <r>
      <rPr>
        <sz val="11"/>
        <color rgb="FF000000"/>
        <rFont val="Aptos Narrow"/>
        <scheme val="minor"/>
      </rPr>
      <t xml:space="preserve">Redis fundamentals
- Using redis in NodeJS with node redis
</t>
    </r>
  </si>
  <si>
    <t xml:space="preserve">Understand Node redis and database features to optimize backend performance. Apply caching techniques to improve performance. </t>
  </si>
  <si>
    <r>
      <rPr>
        <b/>
        <sz val="11"/>
        <color rgb="FF000000"/>
        <rFont val="Aptos Narrow"/>
        <scheme val="minor"/>
      </rPr>
      <t xml:space="preserve">NestJS Database with TypeORM
</t>
    </r>
    <r>
      <rPr>
        <sz val="11"/>
        <color rgb="FF000000"/>
        <rFont val="Aptos Narrow"/>
        <scheme val="minor"/>
      </rPr>
      <t xml:space="preserve">- Indexing
- Lazy Loading VS Eager Loading
- Database caching with TypeORM
- Entity listeners &amp; Subscriber
</t>
    </r>
  </si>
  <si>
    <r>
      <rPr>
        <b/>
        <sz val="11"/>
        <color rgb="FF000000"/>
        <rFont val="Aptos Narrow"/>
        <scheme val="minor"/>
      </rPr>
      <t xml:space="preserve">NestJS Security
</t>
    </r>
    <r>
      <rPr>
        <sz val="11"/>
        <color rgb="FF000000"/>
        <rFont val="Aptos Narrow"/>
        <scheme val="minor"/>
      </rPr>
      <t xml:space="preserve">- Authentication and Authorization with JWT
- Service to Service Auth
- Refresh token
</t>
    </r>
  </si>
  <si>
    <t xml:space="preserve">Understand security concepts and aspects in NodeJS application. Apply the security techniques to protect and secure NodeJS API service. </t>
  </si>
  <si>
    <r>
      <rPr>
        <b/>
        <sz val="11"/>
        <color rgb="FF000000"/>
        <rFont val="Aptos Narrow"/>
        <scheme val="minor"/>
      </rPr>
      <t xml:space="preserve">NestJS Security
</t>
    </r>
    <r>
      <rPr>
        <sz val="11"/>
        <color rgb="FF000000"/>
        <rFont val="Aptos Narrow"/>
        <scheme val="minor"/>
      </rPr>
      <t xml:space="preserve">- HTTP header with Helmet
- Cross-origin resource sharing (CORS)
- CSRF protection
- Rate limiting
- Input sanitization against XSS &amp; injection
</t>
    </r>
  </si>
  <si>
    <t>NodeJS Microservices</t>
  </si>
  <si>
    <r>
      <rPr>
        <b/>
        <sz val="11"/>
        <color rgb="FF000000"/>
        <rFont val="Aptos Narrow"/>
        <scheme val="minor"/>
      </rPr>
      <t xml:space="preserve">Introduction to Microservices &amp; DDD:
</t>
    </r>
    <r>
      <rPr>
        <sz val="11"/>
        <color rgb="FF000000"/>
        <rFont val="Aptos Narrow"/>
        <scheme val="minor"/>
      </rPr>
      <t>- Monolith vs Microservices
- Microservices design principles
- Introduction to Domain-Driven Design (DDD)
- Bounded Contexts, Entities, Value Objects.</t>
    </r>
  </si>
  <si>
    <t>Understand when to use/avoid MS. Master system decomposition.
Logically decouple Monolith into independent services.</t>
  </si>
  <si>
    <r>
      <rPr>
        <b/>
        <sz val="11"/>
        <color rgb="FF000000"/>
        <rFont val="Aptos Narrow"/>
        <scheme val="minor"/>
      </rPr>
      <t xml:space="preserve">Clean Architecture &amp; NestJS Microservices
</t>
    </r>
    <r>
      <rPr>
        <sz val="11"/>
        <color rgb="FF000000"/>
        <rFont val="Aptos Narrow"/>
        <scheme val="minor"/>
      </rPr>
      <t>- Overview of Clean Architecture in NestJS
- Recommended project/module structure for microservices
- Designing APIs with Controllers and event/message-based communication
- Core NestJS building blocks: Dependency Injection, Middleware, Pipes, Guards, and Interceptors</t>
    </r>
  </si>
  <si>
    <t>Understand the standard folder and module structure, and know how to set up a “Clean” NestJS API service. Successfully build one independent NestJS API service.</t>
  </si>
  <si>
    <r>
      <rPr>
        <b/>
        <sz val="11"/>
        <color rgb="FF000000"/>
        <rFont val="Aptos Narrow"/>
        <scheme val="minor"/>
      </rPr>
      <t xml:space="preserve">Communication pattern:
</t>
    </r>
    <r>
      <rPr>
        <sz val="11"/>
        <color rgb="FF000000"/>
        <rFont val="Aptos Narrow"/>
        <scheme val="minor"/>
      </rPr>
      <t xml:space="preserve">- Synchronous communication with RESTful API
- Asynchronous communication with RabbitMQ
- Synchronous communication with gRPC
- Event-driven architecture with Apache Kafka
</t>
    </r>
  </si>
  <si>
    <t>Understand different communication patterns in microservices. Apply communication patterns and select the right pattern as technical solution for specific case studies.</t>
  </si>
  <si>
    <r>
      <rPr>
        <b/>
        <sz val="11"/>
        <color rgb="FF000000"/>
        <rFont val="Aptos Narrow"/>
        <scheme val="minor"/>
      </rPr>
      <t xml:space="preserve">API Gateway &amp; BFF:
</t>
    </r>
    <r>
      <rPr>
        <sz val="11"/>
        <color rgb="FF000000"/>
        <rFont val="Aptos Narrow"/>
        <scheme val="minor"/>
      </rPr>
      <t>- Role of API Gateway in MS
- Pattern: Backends for Frontends (BFF)
- Introduction to YARP (Yet Another Reverse Proxy) / Ocelot.</t>
    </r>
  </si>
  <si>
    <t>Understand different types of distributed data patterns. Apply distributed data patterns to implement technical solution in microservices.</t>
  </si>
  <si>
    <t>6</t>
  </si>
  <si>
    <r>
      <rPr>
        <b/>
        <sz val="11"/>
        <color rgb="FF000000"/>
        <rFont val="Aptos Narrow"/>
        <scheme val="minor"/>
      </rPr>
      <t xml:space="preserve">Deployment:
</t>
    </r>
    <r>
      <rPr>
        <sz val="11"/>
        <color rgb="FF000000"/>
        <rFont val="Aptos Narrow"/>
        <scheme val="minor"/>
      </rPr>
      <t>- Containerize NodeJS application with Docker
- Deploy NodeJS microservices to k8s
- CICD pipeline with Jenkins/Github Actions/Gitlab CI</t>
    </r>
  </si>
  <si>
    <r>
      <rPr>
        <b/>
        <sz val="11"/>
        <color rgb="FF000000"/>
        <rFont val="Aptos Narrow"/>
        <scheme val="minor"/>
      </rPr>
      <t xml:space="preserve">Observability and Monitoring:
</t>
    </r>
    <r>
      <rPr>
        <sz val="11"/>
        <color rgb="FF000000"/>
        <rFont val="Aptos Narrow"/>
        <scheme val="minor"/>
      </rPr>
      <t>- Logging with Pino and Pino-http
- Metrics observation with Prometheus
- Distributed traces with OpenTelemetry</t>
    </r>
  </si>
  <si>
    <t>Understand approaches of observability and monitoring. Apply techniques, setup and configuration to alert predefined issues or tracing system health.</t>
  </si>
  <si>
    <t>DevOps &amp; Infra for AWS (Option 1)</t>
  </si>
  <si>
    <t>1-5</t>
  </si>
  <si>
    <t>AWS Foundations &amp; Networking
Compute, Storage &amp; Managed Databases
CI/CD, Monitoring</t>
  </si>
  <si>
    <t>- Cloud Fundamentals &amp; IAM – IaaS/PaaS/SaaS models; Regions and AZs; IAM users, roles, least-privilege policies, and MFA. 
- VPC Networking – Public/private subnets; route tables, Internet Gateway, and NAT Gateway.
- Load Balancing &amp; Auto Scaling – ALB with target groups; Auto Scaling Groups with launch templates and scaling policies.
- EC2 &amp; AMIs – Right-sized instances; security groups and key pairs; reusable AMIs.
- S3 &amp; CloudFront – Bucket policies, versioning, lifecycle rules; static website hosting with CloudFront.
- Databases – RDS MySQL with Multi-AZ; DynamoDB with partition/sort keys and on-demand capacity.
- CloudFormation – YAML templates for VPC/EC2 stacks; change sets for safe infrastructure updates.
- CI/CD Pipeline – Automated pipeline with CodeCommit, CodeBuild, and Elastic Beanstalk.
- Monitoring – CloudWatch alarms, log streaming, and health dashboards.</t>
  </si>
  <si>
    <t>https://fptsoftware362.sharepoint.com/:x:/r/sites/FSO.DataStorage.Pay/FSO.FSA/_layouts/15/Doc.aspx?sourcedoc=%7B371B53B5-CDA8-45EF-97E5-FFD0A672E0AF%7D&amp;file=Fast_Track_Framework_DevOps_Training_10h_Syllabus.xlsx&amp;action=default&amp;mobileredirect=true</t>
  </si>
  <si>
    <t>DevOps &amp; Infra for Azure(Option 2)</t>
  </si>
  <si>
    <t xml:space="preserve">Azure Foundations &amp; Networking
Compute, Storage &amp; Managed Databases
CI/CD, Monitoring </t>
  </si>
  <si>
    <t>- Global Infrastructure &amp; Identity – Azure regions, resource groups, and Entra ID (AAD) fundamentals.
- Virtual Networking – VNets, subnets, NSGs, VNet Peering, and Azure Bastion for secure access.
- Load Balancing &amp; WAF – Application Gateway with WAF and Azure Load Balancer for traffic management.
- Compute – VM sizes, Availability Sets, and VM Scale Sets with autoscaling.
- Blob Storage – Access tiers, SAS tokens, and lifecycle management policies.
- Databases – Azure SQL Database and Cosmos DB fundamentals.
- Infrastructure as Code – Bicep templates; deploying and inspecting deployment history.
- CI/CD Pipelines – Azure DevOps YAML multi-stage build and release pipelines.
- Monitoring &amp; Observability – Azure Monitor, Log Analytics with KQL, and Application Insights.
- Full 3-tier application deployment with end-to-end CI/CD on Azure.</t>
  </si>
  <si>
    <t>DevOps &amp; Infra for GCP (Option 3)</t>
  </si>
  <si>
    <t xml:space="preserve">GCP Foundations &amp; Networking
Compute, Storage &amp; Managed Databases
CI/CD, Monitoring </t>
  </si>
  <si>
    <t>- Resource Hierarchy &amp; IAM – GCP projects, resource hierarchy, billing alerts, and IAM fundamentals.
- VPC Networking – VPC networks, subnets, firewall rules, and Cloud NAT for outbound traffic.
- Load Balancing &amp; Security – Global HTTP(S) Load Balancer, Cloud Armor WAF, and Cloud DNS.
- Compute Engine – Machine types, startup scripts, and Managed Instance Groups with autoscaling.
- Cloud Storage – Buckets, IAM vs ACLs, storage classes, and lifecycle rules.
- Databases – Cloud SQL with high availability and Firestore for managed NoSQL workloads.
- Infrastructure as Code – Terraform with GCP provider, GCS remote state backend, and reusable modules.
- CI/CD Pipelines – Cloud Build, Artifact Registry, and Cloud Deploy for serverless CI/CD.
- Monitoring &amp; Observability – Cloud Monitoring, Cloud Logging, alerting policies, and error reporting.
- Full 3-tier application deployment with end-to-end CI/CD on GCP.</t>
  </si>
  <si>
    <t>AWS Cloud (Option)</t>
  </si>
  <si>
    <t>1-7</t>
  </si>
  <si>
    <t>AWS Cloud Fundamentals (CLF-C01)</t>
  </si>
  <si>
    <t>Understanding cloud benefits, AWS global infrastructure, and the shared responsibility model; 
Recognizing core security/compliance concepts and services (IAM, Shield, WAF); 
Distinguishing key storage and content delivery services (S3, Glacier, EBS, Storage Gateway, CloudFront); 
Understanding compute and networking basics (EC2 types/pricing, VPC, subnets, route tables, internet gateways); 
Selecting appropriate managed database services (RDS, DynamoDB, Redshift, Elasticsearch);
And practicing core tasks such as launching/managing EC2, building a basic VPC, and configuring IAM access control.</t>
  </si>
  <si>
    <t>sheet AWS_Dev2_Syllabus Detail</t>
  </si>
  <si>
    <t>Administer Computing (SysOps)</t>
  </si>
  <si>
    <t>Building advanced EC2 operations skills (placement groups, enhanced networking, instance metadata, standardized deployments via AMIs) with hands-on practice (launch templates, Spot Instances, Dedicated Hosts, troubleshooting); 
Mastering AMI lifecycle management (create/copy/share across regions, automate image pipelines with EC2 Image Builder) and validating images through labs; 
And using AWS Systems Manager to operate instances securely without SSH (Session Manager), manage configuration and secrets (Parameter Store, Secrets Manager), and perform fleet operations (Fleet Manager, Run Command, parameter store/retrieval) through labs.</t>
  </si>
  <si>
    <t>Operational Deployment, Scalability &amp; Serverless (SysOps)</t>
  </si>
  <si>
    <t>Build a highly available and scalable architecture using ALB + ASG, establish health checks/routing, and apply scaling policies based on load and cost.
Standardize deployment and automate infrastructure using Elastic Beanstalk and Infrastructure as Code with CloudFormation, including update strategies, multi-account/multi-environment, and rollback handling in case of deployment failures.
Operate serverless workloads with AWS Lambda: configure performance (concurrency), integrate VPCs, operate event-driven (S3/API Gateway), and ensure reliability with DLQ/destinations.
Monitor and troubleshoot via CloudWatch Logs and X-Ray, and perform hands-on testing using hands-on labs (scale testing, deployment/update, automation, event-driven flows).</t>
  </si>
  <si>
    <t>Advanced Storage (SysOps)</t>
  </si>
  <si>
    <t>Selecting the right storage service and configuration (EBS, EFS, S3, FSx, Gateway, Snow) for performance, cost, sharing, and hybrid needs.
Performing day-to-day and large-scale storage operations (resizing, lifecycle transitions to Glacier, event-driven workflows, batch operations, replication, auditing/visibility).
Implementing strong data governance and protection (Object Lock/WORM, Access Points, versioning) and end-to-end security (policies, VPC endpoints, encryption with KMS, public access controls).
Executing migration and hybrid storage workflows using Snow Family and Storage Gateway, validated through hands-on labs.</t>
  </si>
  <si>
    <t>1-4</t>
  </si>
  <si>
    <t>CDN &amp; Database (SysOps)</t>
  </si>
  <si>
    <t>Building and operating CloudFront distributions with secure origin access, tuned caching, and access controls (geo restrictions, signed URLs), plus operational tasks like invalidations and error handling.
Designing and validating database HA and scaling strategies using RDS Multi-AZ, read replicas, and Aurora Serverless v2, and improving application performance with ElastiCache-based caching patterns through hands-on labs.</t>
  </si>
  <si>
    <t>Advanced Monitoring (SysOps)</t>
  </si>
  <si>
    <t>Security, Compliance &amp; Identity (SysOps)</t>
  </si>
  <si>
    <t>Protecting web applications and S3 data using WAF, Shield Advanced, and Macie, and validating controls through hands-on simulations/testing.
Establishing scalable identity governance for multi-account environments using IAM Identity Center, Directory Service integration, and secure cross-account access patterns (role assumption), verified via practical labs and CLI testing.</t>
  </si>
  <si>
    <t>1-6</t>
  </si>
  <si>
    <t>Administer Networking (SysOps)</t>
  </si>
  <si>
    <t>Implementing Route 53 routing and health checks to achieve resilient, policy-driven DNS failover and traffic management.
Building secure, scalable multi-VPC architectures (Transit Gateway, peering, PrivateLink) and diagnosing connectivity using Flow Logs analytics.
Confirming readiness for the SysOps Administrator exam through a realistic practice test and targeted remediation based on detailed answer review.</t>
  </si>
  <si>
    <t>Azure cloud (Option)</t>
  </si>
  <si>
    <t>AZ-900</t>
  </si>
  <si>
    <t>Cloud Concepts – Understand cloud computing models (IaaS/PaaS/SaaS), shared responsibility, and cloud benefits such as scalability, availability, and cost efficiency.   
Azure Architecture – Describe Azure global infrastructure including regions, availability zones, and resource organization via management groups and resource groups.   
Core Azure Services – Identify key Azure compute, networking, storage, and database services and their common use cases.   
Azure Management Tools – Use Azure Portal, CLI, PowerShell, and ARM templates for resource management and deployment.   
Security &amp; Compliance – Understand Azure security tools, Microsoft Defender, Entra ID (AAD), RBAC, and compliance frameworks.   
Cost Management – Estimate and manage Azure costs using the Pricing Calculator, TCO Calculator, and Cost Management tools.   
Service Level Agreements – Understand Azure SLAs, service lifecycle, and how they impact solution design decisions.</t>
  </si>
  <si>
    <t>sheet SE_Dev2_Azure_Syllabus Detail</t>
  </si>
  <si>
    <t>1-10</t>
  </si>
  <si>
    <t>AZ-104</t>
  </si>
  <si>
    <t>Identity &amp; Access – Manage Entra ID users, groups, RBAC, MFA, and conditional access policies.
Governance – Manage subscriptions, resource groups, Azure Policy, and management groups.
Networking – Configure VNets, NSGs, VNet peering, VPN Gateway, and Azure DNS.
Virtual Machines – Deploy and manage VMs, availability sets, VM Scale Sets, and disk management.
Storage – Manage storage accounts, blob containers, access tiers, SAS tokens, and replication.
App Services – Deploy and manage web apps, scaling, and deployment slots.
Containers – Understand Azure Container Instances (ACI) and AKS fundamentals.
Load Balancing – Configure Azure Load Balancer, Application Gateway, and Traffic Manager.
Monitoring – Set up Azure Monitor, Log Analytics, alerts, and Network Watcher.
Backup &amp; Recovery – Configure Azure Backup, Recovery Services Vault, and Site Recovery.</t>
  </si>
  <si>
    <t>AZ-204</t>
  </si>
  <si>
    <t>Azure Compute – Develop and deploy solutions using Azure App Service, Azure Functions, and containerized apps with ACI and AKS.
Azure Storage – Implement Blob Storage, Cosmos DB, and Azure Cache for Redis in application solutions.
Authentication &amp; Authorization – Implement secure access using Microsoft Identity Platform, OAuth2, MSAL, and managed identities.
API Management – Design and secure APIs using Azure API Management (APIM) policies, subscriptions, and gateways.
Event-Based Solutions – Develop event-driven applications using Azure Event Grid, Event Hubs, and Service Bus.
Message-Based Solutions – Implement asynchronous messaging with Azure Queue Storage and Service Bus queues.
Monitoring &amp; Logging – Integrate Application Insights and Azure Monitor for telemetry, logging, and performance tracking.
Caching &amp; CDN – Implement Azure Cache for Redis and Azure CDN for performance optimization.
Security &amp; Key Management – Secure application secrets and keys using Azure Key Vault and managed identities.
Infrastructure as Code – Automate resource provisioning using ARM templates and Azure CLI in development workflows.</t>
  </si>
  <si>
    <t>GCP Cloud (Option)</t>
  </si>
  <si>
    <t>Cloud Digital Leader</t>
  </si>
  <si>
    <t>Understand core cloud concepts and Google Cloud services.
Identify how cloud, data, and AI/ML drive digital transformation.
Recognize opportunities to modernize infrastructure and apps.
Prepare confidently for the Google Cloud Digital Leader certification.</t>
  </si>
  <si>
    <t>https://fptsoftware362.sharepoint.com/:x:/r/sites/FSO.DataStorage.Pay/FSO.FSA/_layouts/15/Doc.aspx?sourcedoc=%7BEED33349-B9ED-4068-9402-66D8BEA61AAD%7D&amp;file=Google_Cloud%20Digital%20Leader_Syllabus.xlsx&amp;action=default&amp;mobileredirect=true</t>
  </si>
  <si>
    <t>Associate Cloud Engineer - ACE</t>
  </si>
  <si>
    <t>AWS Cloud AI (Option)</t>
  </si>
  <si>
    <t>AI &amp; ML Fundamentals – Core concepts, terminology, and types of ML (supervised, unsupervised, reinforcement learning).
Generative AI Basics – Foundation models, large language models (LLMs), prompt engineering, and use cases.
AWS AI/ML Services – Key services including SageMaker, Bedrock, Rekognition, Comprehend, Lex, Polly, and Translate.
Amazon Bedrock – Accessing and customizing foundation models; Agents and Knowledge Bases for RAG.
ML Pipeline &amp; MLOps – Data preparation, model training, evaluation, deployment, and monitoring on AWS.
Responsible AI – Bias, fairness, explainability, transparency, and human oversight in AI systems.
AI Security &amp; Compliance – Data privacy, model governance, IAM controls, and compliance frameworks.
Cost &amp; Performance – Selecting appropriate services and optimizing AI workload costs on AWS.</t>
  </si>
  <si>
    <t>https://fptsoftware362.sharepoint.com/:x:/r/sites/FSO.DataStorage.Pay/FSO.FSA/_layouts/15/Doc.aspx?sourcedoc=%7BBBE8CBF4-C15A-426B-84EF-0F3A54D5323E%7D&amp;file=Fast_Track_Framework_AWS_AI_Practitioner_Syllabus.xlsx&amp;action=default&amp;mobileredirect=true</t>
  </si>
  <si>
    <t>Azure Cloud AI (Option)</t>
  </si>
  <si>
    <t>Azure AI Fundamentals (AI-900)</t>
  </si>
  <si>
    <t>AI &amp; ML Concepts – Core AI/ML principles, types of machine learning, and common AI workloads.
Azure Machine Learning – Automated ML, designer, compute resources, and model deployment basics.
Computer Vision – Image classification, object detection, OCR, and Azure Vision services.
Natural Language Processing – Text analysis, sentiment analysis, translation, and Azure Language services.
Document Intelligence &amp; Knowledge Mining – Azure Document Intelligence and Azure AI Search fundamentals.
Generative AI – Large language models, prompt engineering, and Azure OpenAI Service capabilities.
Responsible AI – Microsoft's six responsible AI principles: fairness, reliability, privacy, inclusiveness, transparency, and accountability.</t>
  </si>
  <si>
    <t>https://fptsoftware362.sharepoint.com/:x:/r/sites/FSO.DataStorage.Pay/FSO.FSA/Shared%20Documents/FSA/1.%20Learning%20Solutions%20(LS)/9.%20LS%20Programs/UpSkill_Reskill%20Program%20for%20Delivery/2025/1.%20Senior%20Technical%20Training%20Materials/Cloud_Azure_AI900_Fundamental_2025/Cloud_Azure_AI900_Fundamental_Syllabus_v1.0.xlsx?d=wdd8c59f877b64f20989fbfa89ab9e49a&amp;csf=1&amp;web=1&amp;e=OhNTNC</t>
  </si>
  <si>
    <t>Azure AI Engineer (AI-102)</t>
  </si>
  <si>
    <t>Azure AI Services – Provisioning, securing, and monitoring Azure AI multi-service resources and endpoints.
Computer Vision – Image analysis, object detection, facial recognition, and custom vision model training.
Natural Language Processing – Text analytics, sentiment analysis, entity recognition, and custom NLP models.
Azure OpenAI Service – Deploying and consuming GPT models; prompt engineering and fine-tuning basics.
Document Intelligence – Extracting structured data from forms and documents using prebuilt and custom models.
Knowledge Mining &amp; AI Search – Building intelligent search solutions with Azure AI Search and skillsets.
Conversational AI – Designing and deploying bots using Azure Bot Service and Language Understanding (CLU).
Responsible AI &amp; Governance – Content safety, bias mitigation, transparency, and compliance for AI solutions.
MLOps &amp; Deployment – Containerizing and deploying AI models; monitoring performance in production.</t>
  </si>
  <si>
    <t>https://fptsoftware362.sharepoint.com/:x:/r/sites/FSO.DataStorage.Pay/FSO.FSA/Shared%20Documents/FSA/1.%20Learning%20Solutions%20(LS)/9.%20LS%20Programs/UpSkill_Reskill%20Program%20for%20Delivery/2025/1.%20Senior%20Technical%20Training%20Materials/Cloud_Azure_AI102_Associate_2025/Cloud_Azure_AI102_Associate_Syllabus_v1.1.xlsx?d=w61246abeac524ef0b4fb7bce54a52753&amp;csf=1&amp;web=1&amp;e=Xt3yFo</t>
  </si>
  <si>
    <t>GCP Cloud AI (Option)</t>
  </si>
  <si>
    <t>Generative AI Fundamentals – Core concepts, capabilities, and limitations of generative AI models and use cases.
Large Language Models (LLMs) – How LLMs work, tokenization, embeddings, and model behavior.
Prompt Engineering – Designing effective prompts; zero-shot, few-shot, and chain-of-thought techniques.
Google AI Ecosystem – Overview of Google's AI portfolio including Gemini, Vertex AI, and Google AI Studio.
Generative AI in Business – Identifying and evaluating real-world business use cases and transformation opportunities.
AI Strategy &amp; Adoption – Building an AI-ready organization, change management, and workforce enablement.
Responsible AI – Google's responsible AI principles, bias, fairness, safety, and ethical considerations.
AI Governance &amp; Risk – Data privacy, intellectual property, compliance, and risk management for AI deployments.
AI Product &amp; Solution Design – Evaluating build vs. buy decisions and designing AI-powered solutions effectively.</t>
  </si>
  <si>
    <t>https://fptsoftware362.sharepoint.com/:x:/r/sites/FSO.DataStorage.Pay/FSO.FSA/_layouts/15/Doc.aspx?sourcedoc=%7B4CAF2856-6FE2-4D69-8527-C1A676787352%7D&amp;file=Fast_Track_Framework_Google_GenAI_Leader_Syllabus.xlsx&amp;action=default&amp;mobileredirect=true</t>
  </si>
  <si>
    <t>Số lượng Modules</t>
  </si>
  <si>
    <t>Tổng thời gian</t>
  </si>
  <si>
    <t>Số tháng</t>
  </si>
  <si>
    <r>
      <rPr>
        <b/>
        <sz val="11"/>
        <color rgb="FF000000"/>
        <rFont val="Aptos Narrow"/>
        <scheme val="minor"/>
      </rPr>
      <t>Introduction to Clean &amp; Hexagonal Architecture in NodeJS:</t>
    </r>
    <r>
      <rPr>
        <sz val="11"/>
        <color rgb="FF000000"/>
        <rFont val="Aptos Narrow"/>
        <scheme val="minor"/>
      </rPr>
      <t xml:space="preserve"> Core principles, the Dependency Rule, and separating layers.</t>
    </r>
  </si>
  <si>
    <t>Explain the goals of Clean/Hexagonal Architecture and the importance of the Dependency Inversion Principle on an architectural scale.</t>
  </si>
  <si>
    <r>
      <rPr>
        <b/>
        <sz val="11"/>
        <color rgb="FF000000"/>
        <rFont val="Aptos Narrow"/>
        <scheme val="minor"/>
      </rPr>
      <t>Ports and Adapters in NodeJS:</t>
    </r>
    <r>
      <rPr>
        <sz val="11"/>
        <color rgb="FF000000"/>
        <rFont val="Aptos Narrow"/>
        <scheme val="minor"/>
      </rPr>
      <t xml:space="preserve"> Defining application boundaries and implementing primary (driving) and secondary (driven) adapters.</t>
    </r>
  </si>
  <si>
    <t>Design application core logic independently of external technologies by defining clear Port interfaces and implementing Adapters.</t>
  </si>
  <si>
    <r>
      <rPr>
        <b/>
        <sz val="11"/>
        <color rgb="FF000000"/>
        <rFont val="Aptos Narrow"/>
        <scheme val="minor"/>
      </rPr>
      <t>Domain-Driven Design in NestJS meets Clean Architecture:</t>
    </r>
    <r>
      <rPr>
        <sz val="11"/>
        <color rgb="FF000000"/>
        <rFont val="Aptos Narrow"/>
        <scheme val="minor"/>
      </rPr>
      <t xml:space="preserve"> Isolating the domain model and designing effective extension points for maintainability.</t>
    </r>
  </si>
  <si>
    <t>Structure the application to protect the core domain logic from infrastructure concerns and design for future extensibility.</t>
  </si>
  <si>
    <r>
      <t>Architectural Pattern: CQRS (Command Query Responsibility Segregation):</t>
    </r>
    <r>
      <rPr>
        <sz val="11"/>
        <color theme="1"/>
        <rFont val="Aptos Narrow"/>
        <family val="2"/>
        <scheme val="minor"/>
      </rPr>
      <t xml:space="preserve"> Principles, benefits, and implementation strategies.</t>
    </r>
  </si>
  <si>
    <t>Design systems where read and write operations are modeled and scaled independently to optimize performance and complexity.</t>
  </si>
  <si>
    <r>
      <t>Architectural Pattern: Event Sourcing:</t>
    </r>
    <r>
      <rPr>
        <sz val="11"/>
        <color theme="1"/>
        <rFont val="Aptos Narrow"/>
        <family val="2"/>
        <scheme val="minor"/>
      </rPr>
      <t xml:space="preserve"> Using a sequence of events as the single source of truth.</t>
    </r>
  </si>
  <si>
    <t>Implement an Event Sourcing pattern to capture all changes to an application state as an immutable sequence of events.</t>
  </si>
  <si>
    <r>
      <t>Architectural Pattern: Saga for Distributed Transactions:</t>
    </r>
    <r>
      <rPr>
        <sz val="11"/>
        <color theme="1"/>
        <rFont val="Aptos Narrow"/>
        <family val="2"/>
        <scheme val="minor"/>
      </rPr>
      <t xml:space="preserve"> Understanding choreography vs. orchestration to manage data consistency across services.</t>
    </r>
  </si>
  <si>
    <t>Implement the Saga pattern to maintain data consistency across multiple microservices without using traditional distributed transactions.</t>
  </si>
  <si>
    <r>
      <t>Architectural Pattern: Circuit Breaker:</t>
    </r>
    <r>
      <rPr>
        <sz val="11"/>
        <color theme="1"/>
        <rFont val="Aptos Narrow"/>
        <family val="2"/>
        <scheme val="minor"/>
      </rPr>
      <t xml:space="preserve"> Preventing cascading failures in distributed systems.</t>
    </r>
  </si>
  <si>
    <t>Implement the Circuit Breaker pattern to increase system resilience by isolating failing services and preventing error propagation.</t>
  </si>
  <si>
    <t>Database Design</t>
  </si>
  <si>
    <r>
      <t>Distributed Systems Theory: CAP Theorem:</t>
    </r>
    <r>
      <rPr>
        <sz val="11"/>
        <color theme="1"/>
        <rFont val="Aptos Narrow"/>
        <family val="2"/>
        <scheme val="minor"/>
      </rPr>
      <t xml:space="preserve"> Understanding Consistency, Availability, and Partition Tolerance.</t>
    </r>
  </si>
  <si>
    <t>Explain the trade-offs defined by the CAP theorem and how they influence the design of distributed databases.</t>
  </si>
  <si>
    <r>
      <t>Beyond CAP: The PACELC Theorem:</t>
    </r>
    <r>
      <rPr>
        <sz val="11"/>
        <color theme="1"/>
        <rFont val="Aptos Narrow"/>
        <family val="2"/>
        <scheme val="minor"/>
      </rPr>
      <t xml:space="preserve"> Analyzing the trade-offs between Latency and Consistency in the absence of partitions.</t>
    </r>
  </si>
  <si>
    <t>Apply the PACELC theorem to make more nuanced architectural decisions regarding database selection based on system requirements.</t>
  </si>
  <si>
    <r>
      <t>Consistency Models:</t>
    </r>
    <r>
      <rPr>
        <sz val="11"/>
        <color theme="1"/>
        <rFont val="Aptos Narrow"/>
        <family val="2"/>
        <scheme val="minor"/>
      </rPr>
      <t xml:space="preserve"> Strong Consistency vs. Eventual Consistency and their variants.</t>
    </r>
  </si>
  <si>
    <t>Differentiate between various consistency models and choose the appropriate model for different parts of a distributed application.</t>
  </si>
  <si>
    <r>
      <t>Database Replication:</t>
    </r>
    <r>
      <rPr>
        <sz val="11"/>
        <color theme="1"/>
        <rFont val="Aptos Narrow"/>
        <family val="2"/>
        <scheme val="minor"/>
      </rPr>
      <t xml:space="preserve"> Principles, leader-follower architecture, and benefits for read scaling and high availability.</t>
    </r>
  </si>
  <si>
    <t>Design a database replication strategy to improve read throughput and ensure data redundancy for disaster recovery.</t>
  </si>
  <si>
    <r>
      <t>Replication Strategies:</t>
    </r>
    <r>
      <rPr>
        <sz val="11"/>
        <color theme="1"/>
        <rFont val="Aptos Narrow"/>
        <family val="2"/>
        <scheme val="minor"/>
      </rPr>
      <t xml:space="preserve"> Synchronous vs. Asynchronous replication and their impact on performance and data durability.</t>
    </r>
  </si>
  <si>
    <t>Evaluate the trade-offs between synchronous and asynchronous replication and select the appropriate strategy for a given use case.</t>
  </si>
  <si>
    <r>
      <t>Database Sharding (Partitioning):</t>
    </r>
    <r>
      <rPr>
        <sz val="11"/>
        <color theme="1"/>
        <rFont val="Aptos Narrow"/>
        <family val="2"/>
        <scheme val="minor"/>
      </rPr>
      <t xml:space="preserve"> Core concepts for scaling write operations.</t>
    </r>
  </si>
  <si>
    <t>Explain how sharding helps to scale databases horizontally and distribute write load across multiple nodes.</t>
  </si>
  <si>
    <r>
      <rPr>
        <b/>
        <sz val="11"/>
        <color rgb="FF000000"/>
        <rFont val="Aptos Narrow"/>
        <scheme val="minor"/>
      </rPr>
      <t>Sharding Strategies &amp; Challenges:</t>
    </r>
    <r>
      <rPr>
        <sz val="11"/>
        <color rgb="FF000000"/>
        <rFont val="Aptos Narrow"/>
        <scheme val="minor"/>
      </rPr>
      <t xml:space="preserve"> Key-based/Hash sharding, Range sharding, and dealing with challenges like hot spots and re-sharding.</t>
    </r>
  </si>
  <si>
    <t>Design and implement a database sharding strategy while considering potential issues and how to mitigate them.</t>
  </si>
  <si>
    <r>
      <rPr>
        <b/>
        <sz val="11"/>
        <color rgb="FF000000"/>
        <rFont val="Aptos Narrow"/>
        <scheme val="minor"/>
      </rPr>
      <t>Introduction to Performance Testing:</t>
    </r>
    <r>
      <rPr>
        <sz val="11"/>
        <color rgb="FF000000"/>
        <rFont val="Aptos Narrow"/>
        <scheme val="minor"/>
      </rPr>
      <t xml:space="preserve"> Key metrics (Latency, Throughput, Error Rate) and types of performance tests.</t>
    </r>
  </si>
  <si>
    <t>Define the goals of performance testing and differentiate between load, stress, and soak testing.</t>
  </si>
  <si>
    <r>
      <rPr>
        <b/>
        <sz val="11"/>
        <color rgb="FF000000"/>
        <rFont val="Aptos Narrow"/>
        <scheme val="minor"/>
      </rPr>
      <t>Load Testing Tools &amp; Scripting:</t>
    </r>
    <r>
      <rPr>
        <sz val="11"/>
        <color rgb="FF000000"/>
        <rFont val="Aptos Narrow"/>
        <scheme val="minor"/>
      </rPr>
      <t xml:space="preserve"> Introduction to tools like Gatling, k6, or JMeter.</t>
    </r>
  </si>
  <si>
    <t>Write and execute a basic load test script against an API endpoint to simulate user traffic.</t>
  </si>
  <si>
    <r>
      <t>Analyzing Performance Test Results:</t>
    </r>
    <r>
      <rPr>
        <sz val="11"/>
        <color theme="1"/>
        <rFont val="Aptos Narrow"/>
        <family val="2"/>
        <scheme val="minor"/>
      </rPr>
      <t xml:space="preserve"> Identifying bottlenecks in the application, database, or infrastructure.</t>
    </r>
  </si>
  <si>
    <t>Interpret performance test reports to pinpoint performance bottlenecks and suggest potential optimizations.</t>
  </si>
  <si>
    <r>
      <rPr>
        <b/>
        <sz val="11"/>
        <color rgb="FF000000"/>
        <rFont val="Aptos Narrow"/>
        <scheme val="minor"/>
      </rPr>
      <t>The Need for Contract Testing in Microservices:</t>
    </r>
    <r>
      <rPr>
        <sz val="11"/>
        <color rgb="FF000000"/>
        <rFont val="Aptos Narrow"/>
        <scheme val="minor"/>
      </rPr>
      <t xml:space="preserve"> Challenges of integration testing in a distributed environment.</t>
    </r>
  </si>
  <si>
    <t>Explain why traditional integration tests are difficult to maintain in a microservices architecture and how contract testing solves this problem.</t>
  </si>
  <si>
    <r>
      <t>Consumer-Driven Contract Testing:</t>
    </r>
    <r>
      <rPr>
        <sz val="11"/>
        <color theme="1"/>
        <rFont val="Aptos Narrow"/>
        <family val="2"/>
        <scheme val="minor"/>
      </rPr>
      <t xml:space="preserve"> Principles and implementation with tools like Pact.</t>
    </r>
  </si>
  <si>
    <t>Implement a consumer-driven contract test to ensure that a provider service meets the expectations of its consumer without requiring full integration.</t>
  </si>
  <si>
    <r>
      <t>Introduction to Chaos Engineering:</t>
    </r>
    <r>
      <rPr>
        <sz val="11"/>
        <color theme="1"/>
        <rFont val="Aptos Narrow"/>
        <family val="2"/>
        <scheme val="minor"/>
      </rPr>
      <t xml:space="preserve"> Principles of proactively testing system resilience in production.</t>
    </r>
  </si>
  <si>
    <t>Understand the methodology of Chaos Engineering and its importance in building confidence in a system's ability to withstand turbulent conditions.</t>
  </si>
  <si>
    <r>
      <t>Chaos Engineering in Practice:</t>
    </r>
    <r>
      <rPr>
        <sz val="11"/>
        <color theme="1"/>
        <rFont val="Aptos Narrow"/>
        <family val="2"/>
        <scheme val="minor"/>
      </rPr>
      <t xml:space="preserve"> Fault injection techniques (e.g., latency injection, network failure) and using chaos tools.</t>
    </r>
  </si>
  <si>
    <t>Design and execute a simple chaos experiment to test a specific system hypothesis, such as how the system behaves when a key dependency is unavailable.</t>
  </si>
  <si>
    <r>
      <rPr>
        <b/>
        <sz val="11"/>
        <color rgb="FF000000"/>
        <rFont val="Aptos Narrow"/>
        <scheme val="minor"/>
      </rPr>
      <t xml:space="preserve">Advance TypeScript patterns
</t>
    </r>
    <r>
      <rPr>
        <sz val="11"/>
        <color rgb="FF000000"/>
        <rFont val="Aptos Narrow"/>
        <scheme val="minor"/>
      </rPr>
      <t>- Advance TypeScript configuration
- Structured &amp; Nominal typing
- Variance (Covariance, Contravariance, Bivariance)
- Conditional Types &amp; Distributive Behavior</t>
    </r>
  </si>
  <si>
    <t>Understand advanced TypeScript concepts such as structural vs nominal typing, variance, and conditional/distributive types. Apply advanced TypeScript features to design safer and more expressive type systems in real projects.</t>
  </si>
  <si>
    <r>
      <rPr>
        <b/>
        <sz val="11"/>
        <color rgb="FF000000"/>
        <rFont val="Aptos Narrow"/>
        <scheme val="minor"/>
      </rPr>
      <t xml:space="preserve">Async Context Propagation and Request-Scoped Observability
</t>
    </r>
    <r>
      <rPr>
        <sz val="11"/>
        <color rgb="FF000000"/>
        <rFont val="Aptos Narrow"/>
        <scheme val="minor"/>
      </rPr>
      <t>- Request-scoped logging and tracing
- Propagating tenant/user/request metadata safely
- Avoiding brittle manual context passing
- Designing audit-friendly asynchronous flows</t>
    </r>
  </si>
  <si>
    <t>Understand how async context propagation enables request-scoped logging, tracing, and safe metadata propagation. Apply async context mechanisms to implement audit-friendly and observable asynchronous backend flows.</t>
  </si>
  <si>
    <r>
      <rPr>
        <b/>
        <sz val="11"/>
        <color rgb="FF000000"/>
        <rFont val="Aptos Narrow"/>
        <scheme val="minor"/>
      </rPr>
      <t xml:space="preserve">Parallelism, CPU-Bound Work, and Multi-Core Strategy
</t>
    </r>
    <r>
      <rPr>
        <sz val="11"/>
        <color rgb="FF000000"/>
        <rFont val="Aptos Narrow"/>
        <scheme val="minor"/>
      </rPr>
      <t>- Choosing between worker_threads and child_process
- Building bounded worker pools
- Handling message passing, errors, exit conditions, and cancellation
- Measuring API responsiveness before/after offloading</t>
    </r>
  </si>
  <si>
    <t>Explain when and why to use worker_threads or child_process for CPU-bound workloads. Apply worker-based parallelism to offload heavy tasks and improve API responsiveness.</t>
  </si>
  <si>
    <r>
      <rPr>
        <b/>
        <sz val="11"/>
        <color rgb="FF000000"/>
        <rFont val="Aptos Narrow"/>
        <scheme val="minor"/>
      </rPr>
      <t xml:space="preserve">Large data streaming
</t>
    </r>
    <r>
      <rPr>
        <sz val="11"/>
        <color rgb="FF000000"/>
        <rFont val="Aptos Narrow"/>
        <scheme val="minor"/>
      </rPr>
      <t>- Backpressure-aware design
- pipeline() and failure propagation
- Transform streams and incremental processing
- Node Streams, Web Streams interoperability</t>
    </r>
  </si>
  <si>
    <t>Explain backpressure-aware design, failure propagation with pipeline(), and incremental processing using transform streams. Apply streaming patterns to process large datasets efficiently with controlled memory and error handling.</t>
  </si>
  <si>
    <r>
      <rPr>
        <b/>
        <sz val="11"/>
        <color rgb="FF000000"/>
        <rFont val="Aptos Narrow"/>
        <scheme val="minor"/>
      </rPr>
      <t xml:space="preserve">Database Connection Pooling
</t>
    </r>
    <r>
      <rPr>
        <sz val="11"/>
        <color rgb="FF000000"/>
        <rFont val="Aptos Narrow"/>
        <scheme val="minor"/>
      </rPr>
      <t>- Database connection pooling
- Connection pooling configuration</t>
    </r>
  </si>
  <si>
    <t>Understand how connection pooling improves database access performance and resource efficiency. Apply suitable pool configuration to optimize backend database connectivity under varying workloads.</t>
  </si>
  <si>
    <r>
      <rPr>
        <b/>
        <sz val="11"/>
        <color rgb="FF000000"/>
        <rFont val="Aptos Narrow"/>
        <scheme val="minor"/>
      </rPr>
      <t xml:space="preserve">Database Query Optimization
</t>
    </r>
    <r>
      <rPr>
        <sz val="11"/>
        <color rgb="FF000000"/>
        <rFont val="Aptos Narrow"/>
        <scheme val="minor"/>
      </rPr>
      <t>- Common Query Performance issues
- Query optimization techniques
- Monitoring, Profiling &amp; Real-world Tuning</t>
    </r>
  </si>
  <si>
    <t>Understand common query performance issues and the principles behind query optimization and profiling. Apply optimization techniques to diagnose and improve slow database queries in practical scenarios.</t>
  </si>
  <si>
    <r>
      <rPr>
        <b/>
        <sz val="11"/>
        <color rgb="FF000000"/>
        <rFont val="Aptos Narrow"/>
        <scheme val="minor"/>
      </rPr>
      <t xml:space="preserve">Performance Optimization in NestJS framework
</t>
    </r>
    <r>
      <rPr>
        <sz val="11"/>
        <color rgb="FF000000"/>
        <rFont val="Aptos Narrow"/>
        <scheme val="minor"/>
      </rPr>
      <t>- Module &amp; DI optimization
- Caching
- Serialization and transformation
- Compression
- Fastify adapter</t>
    </r>
  </si>
  <si>
    <t>Understand factors impacting NestJS application performance. Apply techniques to optimize performance for NestJS application.</t>
  </si>
  <si>
    <r>
      <rPr>
        <b/>
        <sz val="11"/>
        <color rgb="FF000000"/>
        <rFont val="Aptos Narrow"/>
        <scheme val="minor"/>
      </rPr>
      <t xml:space="preserve">Serverless NodeJS Architecture
</t>
    </r>
    <r>
      <rPr>
        <sz val="11"/>
        <color rgb="FF000000"/>
        <rFont val="Aptos Narrow"/>
        <scheme val="minor"/>
      </rPr>
      <t>- API with AWS Lambda
- File ingestion with AWS Lambda and S3</t>
    </r>
  </si>
  <si>
    <t>Understand how serverless architecture works. Implement real serverless architecture solution.</t>
  </si>
  <si>
    <r>
      <rPr>
        <b/>
        <sz val="11"/>
        <color rgb="FF000000"/>
        <rFont val="Aptos Narrow"/>
        <scheme val="minor"/>
      </rPr>
      <t xml:space="preserve">Serverless NodeJS Architecture
</t>
    </r>
    <r>
      <rPr>
        <sz val="11"/>
        <color rgb="FF000000"/>
        <rFont val="Aptos Narrow"/>
        <scheme val="minor"/>
      </rPr>
      <t>- Queue-driven processing with AWS Lambda and SQS
- Schedule job with AWS Lambda and EventBridge
- Stateful long running job with AWS Step Function</t>
    </r>
  </si>
  <si>
    <r>
      <rPr>
        <b/>
        <sz val="11"/>
        <color rgb="FF000000"/>
        <rFont val="Aptos Narrow"/>
        <scheme val="minor"/>
      </rPr>
      <t xml:space="preserve">Distributed Transactions: </t>
    </r>
    <r>
      <rPr>
        <sz val="11"/>
        <color rgb="FF000000"/>
        <rFont val="Aptos Narrow"/>
        <scheme val="minor"/>
      </rPr>
      <t>Saga Pattern (Choreography vs Orchestration)</t>
    </r>
  </si>
  <si>
    <t>- Ensure data consistency across multiple services without using blocking protocols like 2PC (Two-Phase Commit). 
- Reliably solve the "dual-write" problem (where a DB write succeeds but message publishing fails).</t>
  </si>
  <si>
    <r>
      <rPr>
        <b/>
        <sz val="11"/>
        <color rgb="FF000000"/>
        <rFont val="Aptos Narrow"/>
        <scheme val="minor"/>
      </rPr>
      <t>Distributed Transactions:</t>
    </r>
    <r>
      <rPr>
        <sz val="11"/>
        <color rgb="FF000000"/>
        <rFont val="Aptos Narrow"/>
        <scheme val="minor"/>
      </rPr>
      <t xml:space="preserve"> Outbox Pattern.</t>
    </r>
  </si>
  <si>
    <r>
      <rPr>
        <b/>
        <sz val="11"/>
        <color rgb="FF000000"/>
        <rFont val="Aptos Narrow"/>
        <scheme val="minor"/>
      </rPr>
      <t xml:space="preserve">Distributed patterns: </t>
    </r>
    <r>
      <rPr>
        <sz val="11"/>
        <color rgb="FF000000"/>
        <rFont val="Aptos Narrow"/>
        <scheme val="minor"/>
      </rPr>
      <t>Event sourcing patterns</t>
    </r>
  </si>
  <si>
    <t>Understand the core idea, benefits, and trade-offs of Event Sourcing in distributed systems. Design a simple event-driven workflow using persisted domain events and state reconstruction.</t>
  </si>
  <si>
    <r>
      <rPr>
        <b/>
        <sz val="11"/>
        <color rgb="FF000000"/>
        <rFont val="Aptos Narrow"/>
        <scheme val="minor"/>
      </rPr>
      <t>Distributed patterns:</t>
    </r>
    <r>
      <rPr>
        <sz val="11"/>
        <color rgb="FF000000"/>
        <rFont val="Aptos Narrow"/>
        <scheme val="minor"/>
      </rPr>
      <t xml:space="preserve"> Strangler Fig</t>
    </r>
  </si>
  <si>
    <t>Explain how Strangler Fig enables gradual migration from a legacy system to distributed services. Create a phased migration approach that extracts one feature behind a façade or proxy.</t>
  </si>
  <si>
    <r>
      <rPr>
        <b/>
        <sz val="11"/>
        <color rgb="FF000000"/>
        <rFont val="Aptos Narrow"/>
        <scheme val="minor"/>
      </rPr>
      <t xml:space="preserve">Advanced Authorization &amp; RBAC-ABAC in NestJS
</t>
    </r>
    <r>
      <rPr>
        <sz val="11"/>
        <color rgb="FF000000"/>
        <rFont val="Aptos Narrow"/>
        <scheme val="minor"/>
      </rPr>
      <t>- Design a detailed Role-Based Access Control (RBAC) model using custom decorators, metadata, and Guards
Implement Attribute-Based Access Control (ABAC) / policy-based authorization using user claims, request context, resource attributes, and business rules
- Build advanced route and handler-level security with Guards, Reflector, custom decorators, and context-aware authorization logic</t>
    </r>
  </si>
  <si>
    <t>- Design and implement complex, flexible authorization systems (both RBAC and ABAC). 
- Secure the application at a granular level, down to individual methods and specific data objects (ACL).</t>
  </si>
  <si>
    <r>
      <rPr>
        <b/>
        <sz val="11"/>
        <color rgb="FF000000"/>
        <rFont val="Aptos Narrow"/>
        <scheme val="minor"/>
      </rPr>
      <t xml:space="preserve">Advanced Authorization &amp; RBAC-ABAC in NestJS
</t>
    </r>
    <r>
      <rPr>
        <sz val="11"/>
        <color rgb="FF000000"/>
        <rFont val="Aptos Narrow"/>
        <scheme val="minor"/>
      </rPr>
      <t>- Create custom permission evaluators, policy handlers, and reusable authorization components
- Implement resource/domain object security (ACL-like or object-level authorization) for ownership, sharing, and per-entity access control
- Support hierarchical roles, inherited permissions, and composite authorization models across modules and domains</t>
    </r>
  </si>
  <si>
    <r>
      <rPr>
        <b/>
        <sz val="11"/>
        <color rgb="FF000000"/>
        <rFont val="Aptos Narrow"/>
        <scheme val="minor"/>
      </rPr>
      <t xml:space="preserve">Security in Microservices: </t>
    </r>
    <r>
      <rPr>
        <sz val="11"/>
        <color rgb="FF000000"/>
        <rFont val="Aptos Narrow"/>
        <scheme val="minor"/>
      </rPr>
      <t>Token relay</t>
    </r>
  </si>
  <si>
    <t>- Secure two-way communication between microservices (mTLS), ensuring only trusted services can interact. 
- Understand and apply the principles of a Zero Trust Architecture in a distributed environment.</t>
  </si>
  <si>
    <r>
      <rPr>
        <b/>
        <sz val="11"/>
        <color rgb="FF000000"/>
        <rFont val="Aptos Narrow"/>
        <scheme val="minor"/>
      </rPr>
      <t>Security in Microservices:</t>
    </r>
    <r>
      <rPr>
        <sz val="11"/>
        <color rgb="FF000000"/>
        <rFont val="Aptos Narrow"/>
        <scheme val="minor"/>
      </rPr>
      <t xml:space="preserve"> mTLS (Mutual TLS) within service</t>
    </r>
  </si>
  <si>
    <r>
      <rPr>
        <b/>
        <sz val="11"/>
        <color rgb="FF000000"/>
        <rFont val="Aptos Narrow"/>
        <scheme val="minor"/>
      </rPr>
      <t>Security in Microservices:</t>
    </r>
    <r>
      <rPr>
        <sz val="11"/>
        <color rgb="FF000000"/>
        <rFont val="Aptos Narrow"/>
        <scheme val="minor"/>
      </rPr>
      <t xml:space="preserve"> Zero Trust Architecture.</t>
    </r>
  </si>
  <si>
    <r>
      <rPr>
        <b/>
        <sz val="11"/>
        <color rgb="FF000000"/>
        <rFont val="Aptos Narrow"/>
        <scheme val="minor"/>
      </rPr>
      <t>Observability:</t>
    </r>
    <r>
      <rPr>
        <sz val="11"/>
        <color rgb="FF000000"/>
        <rFont val="Aptos Narrow"/>
        <scheme val="minor"/>
      </rPr>
      <t xml:space="preserve">  Distributed Tracing (Micrometer Tracing + Zipkin/Jaeger)</t>
    </r>
  </si>
  <si>
    <t>- Trace requests end-to-end across multiple microservices to quickly identify errors and bottlenecks. 
- Build real-time dashboards to monitor system health. &lt;br&gt; - Query and analyze centralized logs from all services to investigate incidents.</t>
  </si>
  <si>
    <r>
      <rPr>
        <b/>
        <sz val="11"/>
        <color rgb="FF000000"/>
        <rFont val="Aptos Narrow"/>
        <scheme val="minor"/>
      </rPr>
      <t xml:space="preserve">Observability: </t>
    </r>
    <r>
      <rPr>
        <sz val="11"/>
        <color rgb="FF000000"/>
        <rFont val="Aptos Narrow"/>
        <scheme val="minor"/>
      </rPr>
      <t xml:space="preserve"> Metrics (Prometheus + Grafana)</t>
    </r>
  </si>
  <si>
    <r>
      <rPr>
        <b/>
        <sz val="11"/>
        <color rgb="FF000000"/>
        <rFont val="Aptos Narrow"/>
        <scheme val="minor"/>
      </rPr>
      <t xml:space="preserve">Observability: </t>
    </r>
    <r>
      <rPr>
        <sz val="11"/>
        <color rgb="FF000000"/>
        <rFont val="Aptos Narrow"/>
        <scheme val="minor"/>
      </rPr>
      <t xml:space="preserve"> Centralized Logging (ELK/EFK stack)</t>
    </r>
  </si>
  <si>
    <t>Containers, Serverless &amp; Advanced IaC
Advanced Security, Observability &amp; Cost
GitOps, DevSecOps</t>
  </si>
  <si>
    <t>ECS Fargate &amp; ECR: Containerised Workloads Without EC2 Management
Amazon EKS: Kubernetes on AWS with IRSA &amp; ALB Ingress
Lambda, API Gateway &amp; Event-Driven Patterns (SQS, SNS, EventBridge)
AWS CDK: Defining Infrastructure as Python/TypeScript Constructs
WAF, Secrets Manager, KMS &amp; VPC PrivateLink
X-Ray Distributed Tracing &amp; CloudWatch Container Insights
Cost Explorer, Trusted Advisor &amp; Savings Plans
GitOps with CodePipeline &amp; ArgoCD on EKS
DevSecOps: Container Image Scanning, SAST in Pipeline &amp; IAM Guardrails</t>
  </si>
  <si>
    <t>DevOps &amp; Infra for Azure (Option 2)</t>
  </si>
  <si>
    <t>AKS: Cluster Provisioning, AGIC, Workload Identity &amp; Network Policies
Azure Container Apps &amp; KEDA-Based Autoscaling
Azure Functions, Service Bus &amp; Durable Functions Orchestration
Advanced Bicep: Modules, Private Registry &amp; Azure Verified Modules
Key Vault, Private Endpoints, Private DNS &amp; Defender for Containers
Azure Monitor Workbooks, Distributed Tracing &amp; Application Insights Live Metrics
Azure Cost Management, Tagging Strategy &amp; Reserved Instance Modelling
GitOps with Flux CD on AKS &amp; Branch-Per-Environment Strategy
DevSecOps: Image Scanning in ADO Pipelines, Defender for Cloud &amp; Sentinel Alerts</t>
  </si>
  <si>
    <t>GKE Autopilot: Workload Identity, Config Connector &amp; Network Policies
Cloud Run: Serverless Containers, Traffic Splitting &amp; Eventarc Triggers
Cloud Functions (2nd Gen), Pub/Sub &amp; Dead-Letter Topics
Advanced Terraform: Workspaces, Remote State Locking &amp; Sentinel Policies
VPC Service Controls, Private Service Connect &amp; Secret Manager
Cloud Trace, Managed Prometheus &amp; Grafana Dashboards
GCP Cost Management: Committed Use Discounts, Budgets &amp; Recommender
GitOps with Config Sync (Fleet) &amp; Cloud Deploy Multi-Target Promotion
DevSecOps: Artifact Registry Vulnerability Scanning, Cloud Armor &amp; Security Command Center</t>
  </si>
  <si>
    <t xml:space="preserve">Containers, Serverless &amp; Advanced IaC
Advanced Security, Observability &amp; Cost
GitOps, DevSecOps 
</t>
  </si>
  <si>
    <t>ECS &amp; Fargate – Push images to ECR; define task definitions, services, auto-scaling, and ALB integration.
Kubernetes (EKS) – Provision EKS clusters; deploy with kubectl; configure IAM roles and ALB Ingress Controller.
Serverless – Lambda functions triggered by API Gateway, SQS, and EventBridge; dead-letter queues and idempotency.
AWS CDK – Define infrastructure with L2/L3 constructs; synthesize, deploy, and share reusable construct libraries.
Security – WAF ACLs, Secrets Manager rotation, KMS encryption, and PrivateLink service exposure.
Observability – X-Ray distributed tracing, latency analysis, and EKS monitoring with Container Insights.
Cost Optimization – Cost Explorer analysis, Trusted Advisor right-sizing, and Savings Plan modeling.
GitOps – Git-triggered ArgoCD workflows for automated EKS cluster state reconciliation.
DevSecOps – Trivy image scanning, SAST checks in CodePipeline, and SCP guardrails via AWS Organizations.
Capstone – Multi-service EKS app using CDK provisioning, ArgoCD GitOps, and X-Ray tracing end-to-end.</t>
  </si>
  <si>
    <t>AWS_Fast-Track_Framework_v1.0.xlsx</t>
  </si>
  <si>
    <t>AZ-305</t>
  </si>
  <si>
    <t>Identity &amp; Access Design – Design solutions for Azure AD (Entra ID), RBAC, conditional access, privileged identity management, and hybrid identity.
Governance &amp; Compliance – Design governance strategies using Azure Policy, management groups, landing zones, and compliance frameworks.
Compute Architecture – Design scalable compute solutions using VMs, App Service, Azure Functions, AKS, and container-based architectures.
Networking Architecture – Design hub-spoke networks, VNet peering, hybrid connectivity (VPN/ExpressRoute), and network security strategies.
Storage Architecture – Design storage solutions for structured, unstructured, and archival data with appropriate redundancy and performance tiers.
Database Architecture – Select and design relational and NoSQL database solutions including Azure SQL, Cosmos DB, and caching strategies.
Application Architecture – Design loosely coupled, event-driven, and message-based solutions using Service Bus, Event Grid, and API Management.
Monitoring &amp; Observability – Design end-to-end monitoring strategies using Azure Monitor, Log Analytics, and Application Insights.
Business Continuity – Design high availability, disaster recovery, and backup strategies aligned with RTO and RPO requirements.
Migration Strategy – Design cloud migration approaches using Azure Migrate, database migration services, and modernization frameworks.</t>
  </si>
  <si>
    <t>Azure_Fast-Track_Framework_v1.0.xlsx</t>
  </si>
  <si>
    <t>1-13</t>
  </si>
  <si>
    <t>AZ-400</t>
  </si>
  <si>
    <t>DevOps Transformation – Design and implement DevOps strategies, team collaboration, and agile planning using Azure Boards.
Source Control – Manage Git repositories, branching strategies, pull requests, and code review workflows in Azure Repos.
CI/CD Pipelines – Design and implement build and release pipelines using Azure Pipelines with YAML and classic editors.
Package Management – Manage dependencies and artifact feeds using Azure Artifacts and package versioning strategies.
Testing Strategy – Integrate automated testing (unit, integration, load) into pipelines for continuous quality assurance.
Infrastructure as Code – Implement IaC using ARM templates, Bicep, Terraform, and configuration management tools.
Container &amp; Kubernetes CI/CD – Build and deploy containerized applications to AKS using Docker and Helm charts.
Security &amp; Compliance (DevSecOps) – Integrate security scanning, secret management, and compliance checks into pipelines.
Monitoring &amp; Feedback – Implement monitoring, alerting, and feedback loops using Azure Monitor and Application Insights.
Release Strategy – Design deployment strategies including blue-green, canary, and feature flag-based releases.</t>
  </si>
  <si>
    <t>1-8</t>
  </si>
  <si>
    <t>Professional Cloud Architect - PCA (option 1)</t>
  </si>
  <si>
    <t>Cloud Architecture – Design scalable, reliable, and secure solutions aligned with business and technical requirements.
GCP Compute – Architect solutions using Compute Engine, GKE, Cloud Run, and App Engine for diverse workloads.
Networking – Design VPCs, hybrid connectivity (VPN/Interconnect), load balancing, and network security.
Storage &amp; Databases – Select appropriate solutions across Cloud SQL, Spanner, Bigtable, Firestore, and Cloud Storage.
Identity &amp; Security – Design IAM policies, VPC Service Controls, and enterprise security best practices.
Data &amp; Analytics – Design pipelines and analytics solutions using BigQuery, Dataflow, Pub/Sub, and Dataproc.
Reliability &amp; Resilience – Design for high availability, disaster recovery, and SLA-aligned RTO/RPO targets.
Cost Optimization – Design cost-effective architectures using committed use discounts and rightsizing.
Migration Strategy – Plan and design cloud migration for workloads, databases, and legacy applications.
Governance &amp; Compliance – Design resource hierarchy, organizational policies, and compliance frameworks.</t>
  </si>
  <si>
    <t>https://fptsoftware362.sharepoint.com/:x:/r/sites/FSO.DataStorage.Pay/FSO.FSA/_layouts/15/Doc.aspx?sourcedoc=%7B731C0BE5-46F2-4EE2-9F73-20E153C6A657%7D&amp;file=Google%20Professional%20Cloud%20Architect_PCA_Syllabus.xlsx&amp;action=default&amp;mobileredirect=true</t>
  </si>
  <si>
    <t>Professional Cloud Developer - PCD (option 2)</t>
  </si>
  <si>
    <t>Cloud-Native Development – Build and deploy scalable, highly available applications using GCP-native services and best practices.
Compute &amp; Containers – Develop and deploy applications on Compute Engine, GKE, Cloud Run, and App Engine.
Storage &amp; Databases – Integrate Cloud Storage, Cloud SQL, Firestore, Bigtable, and Memorystore into application solutions.
API &amp; Integration – Design and manage APIs using Cloud Endpoints and Apigee; implement service-to-service communication.
CI/CD Pipelines – Build automated pipelines using Cloud Build, Artifact Registry, and Cloud Deploy for continuous delivery.
Security &amp; Identity – Implement application security using IAM, service accounts, Secret Manager, and Cloud KMS.
Event-Driven &amp; Messaging – Build asynchronous and event-driven solutions using Pub/Sub, Eventarc, and Cloud Tasks.
Monitoring &amp; Observability – Instrument applications with Cloud Monitoring, Cloud Logging, Cloud Trace, and Error Reporting.
Performance &amp; Scalability – Optimize application performance using caching, autoscaling, and load balancing strategies.
Migration &amp; Modernization – Migrate and modernize legacy applications to cloud-native architectures on GCP.</t>
  </si>
  <si>
    <t>https://fptsoftware362.sharepoint.com/:x:/r/sites/FSO.DataStorage.Pay/FSO.FSA/_layouts/15/Doc.aspx?sourcedoc=%7B448C65B9-AFD1-4C8F-BE0C-977E9EEA603E%7D&amp;file=Google%20Professional%20Cloud%20Developer_PCD_Syllabus.xlsx&amp;action=default&amp;mobileredirect=true</t>
  </si>
  <si>
    <t>Professional Cloud DevOps Engineer - PCDE (option 3)</t>
  </si>
  <si>
    <t>DevOps &amp; SRE Principles – Apply SRE concepts, DevOps transformation strategies, and error budget management.
CI/CD Pipelines – Build automated pipelines using Cloud Build, Artifact Registry, and Cloud Deploy.
Infrastructure as Code – Provision GCP infrastructure using Terraform and Cloud Deployment Manager.
Container &amp; Kubernetes – Manage containerized workloads and GKE clusters with Helm and rolling updates.
SLIs, SLOs &amp; SLAs – Define and implement service level objectives and error budgets for reliability.
Monitoring &amp; Observability – Implement Cloud Monitoring, Cloud Logging, and Cloud Trace for full-stack visibility.
Alerting &amp; Incident Management – Design alerting policies and manage incident response and postmortems.
DevSecOps – Integrate security scanning, secret management, and Binary Authorization into pipelines.
Release Strategy – Implement blue-green, canary, and rolling deployment strategies on GCP.
Performance &amp; Reliability – Optimize application scalability and reliability using GCP-native tools.</t>
  </si>
  <si>
    <t>https://fptsoftware362.sharepoint.com/:x:/r/sites/FSO.DataStorage.Pay/FSO.FSA/_layouts/15/Doc.aspx?sourcedoc=%7B46FC318F-CCEE-47D4-B210-1464056B5467%7D&amp;file=Google%20Professional%20Cloud%20Devops%20Engineer_PCDE_Syllabus.xlsx&amp;action=default&amp;mobileredirect=true</t>
  </si>
  <si>
    <t>Plan and manage an Azure AI solution
Implement content moderation solutions
Implement computer vision solutions
Implement natural language processing solutions
Implement knowledge mining and document intelligence solutions
Implement generative AI solutions</t>
  </si>
  <si>
    <t>1-14</t>
  </si>
  <si>
    <t>Domains</t>
  </si>
  <si>
    <t>Group</t>
  </si>
  <si>
    <t>Fields/ Skills</t>
  </si>
  <si>
    <t>Course/Batch Name</t>
  </si>
  <si>
    <t>Objectives</t>
  </si>
  <si>
    <t>Level</t>
  </si>
  <si>
    <t>Syllabus links</t>
  </si>
  <si>
    <t>AI</t>
  </si>
  <si>
    <t xml:space="preserve"> AI/DS/DE/DA/Database Architect</t>
  </si>
  <si>
    <t xml:space="preserve">AI </t>
  </si>
  <si>
    <t>Microsoft - Designing and Implementing Azure AI Solution (AI-102)</t>
  </si>
  <si>
    <t>Upskill</t>
  </si>
  <si>
    <t>Intermediate</t>
  </si>
  <si>
    <t>Microsoft - Azure AI Fundamentals (AI-900)</t>
  </si>
  <si>
    <t>Foundation</t>
  </si>
  <si>
    <t>AI with GitHub Copilot for Java &amp; Spring Boot</t>
  </si>
  <si>
    <t>Advanced</t>
  </si>
  <si>
    <t>https://fptsoftware362.sharepoint.com/:x:/r/sites/FSO.DataStorage.Pay/FSO.FSA/Shared%20Documents/FSA/1.%20Learning%20Solutions%20(LS)/9.%20LS%20Programs/UpSkill_Reskill%20Program%20for%20Delivery/2025/1.%20Senior%20Technical%20Training%20Materials/Github%20Copilot%20With%20Java%20Spring%20Boot_F1_2025/FSA_Syllabus_GitHub%20Copilot%20For%20Java%20Spring%20Boot_v1.1.xlsx?d=w53754edaebaf44279f6bf418f80e9a54&amp;csf=1&amp;web=1&amp;e=NRFo42</t>
  </si>
  <si>
    <t>Cloud &amp; Data</t>
  </si>
  <si>
    <t>DA</t>
  </si>
  <si>
    <t>Intermediate Data Engineering of CIS</t>
  </si>
  <si>
    <t>https://fptsoftware362.sharepoint.com/:x:/r/sites/FSO.DataStorage.Pay/FSO.FSA/Shared%20Documents/FSA/7.%20FSA%20Training%20Content/1.%20Core%20Content/2.%20Senior%20Training/WIP/1.%20Technical/02.%20FSU_Data_Engineering_Data_Analyst/Intermediate%20Data%20Engineering%20(GHC.DHM)/GHC_DE_Intermediate_Syllabus_v2.0.xlsx?d=w8670d596bbc44b02b54467680463f54b&amp;csf=1&amp;web=1&amp;e=HL3GxM</t>
  </si>
  <si>
    <t>DE</t>
  </si>
  <si>
    <t>Enrich</t>
  </si>
  <si>
    <t>https://fptsoftware362.sharepoint.com/:x:/r/sites/FSO.DataStorage.Pay/FSO.FSA/Shared%20Documents/FSA/1.%20Learning%20Solutions%20(LS)/9.%20LS%20Programs/UpSkill_Reskill%20Program%20for%20Delivery/2026/Training%20Materials/F1_Data%20Engineering_Intermediate%20for%20Dev/F1.PSI_DE_Intermediate_Syllabus_Fulltime.xlsx?d=wef457810b69e47f39f0de0d26013f70e&amp;csf=1&amp;web=1&amp;e=mHqge6</t>
  </si>
  <si>
    <t>Intermediate Data Engineering - Building Data Pipelines and Analytics Systems</t>
  </si>
  <si>
    <t>https://fptsoftware362.sharepoint.com/:x:/r/sites/FSO.DataStorage.Pay/FSO.FSA/_layouts/15/Doc.aspx?sourcedoc=%7BC61EE498-B262-4E60-8ABF-2BABB6D81E99%7D&amp;file=PSI_Intermediate%20Data%20Engineering%20-%20Building%20Data%20Pipelines%20and%20Analytics%20Systems_Class01_v1.1.xlsx&amp;action=default&amp;mobileredirect=true</t>
  </si>
  <si>
    <t>Common Skills</t>
  </si>
  <si>
    <t>App Dev</t>
  </si>
  <si>
    <t>.NET</t>
  </si>
  <si>
    <t>.Net Desktop (WPF, UWP)</t>
  </si>
  <si>
    <t>https://fptsoftware362-my.sharepoint.com/:x:/r/personal/linhhd5_fpt_com/_layouts/15/Doc.aspx?sourcedoc=%7BF1DF0F86-533A-45D6-80FD-FF711687BDB1%7D&amp;file=WPF_UWP_Syllabus_Offline_v1.0.xlsx&amp;action=default&amp;mobileredirect=true</t>
  </si>
  <si>
    <t>Clean Architecture with Domain Driven Design(DDD) in .NET 8</t>
  </si>
  <si>
    <t>https://fptsoftware362.sharepoint.com/:x:/r/sites/FSO.DataStorage.Pay/FSO.FSA/Shared%20Documents/FSA/1.%20Learning%20Solutions%20(LS)/1.%20FSA%20NLS/3.%20Senior%20Training/2025/10.%20LMS%20Public%20course/6.%20EM.Cls_T_ER_DDD_HN25_01/1.%20Content%20Management/1.%20Syllabus/DDD%20.NET%20Syllabus_v0.1%202.xlsx?d=w8851af3e220e4d378f40fa842409800b&amp;csf=1&amp;web=1&amp;e=efvzcZ</t>
  </si>
  <si>
    <t>C#ASP.NET</t>
  </si>
  <si>
    <t>https://fptsoftware362.sharepoint.com/:x:/r/sites/FSO.DataStorage.Pay/FSO.FSA/Shared%20Documents/FSA/1.%20Learning%20Solutions%20(LS)/9.%20LS%20Programs/UpSkill_Reskill%20Program%20for%20Delivery/2025/1.%20Senior%20Technical%20Training%20Materials/.Net_Foundation_EC_2025_HCM/CSharp-ASP.NET_FWA.EC_Categories-Skills_Syllabus_TuanTN8%20adjustion.xlsx?d=w30d6f1a0606d44c4836f11837cbd2cd4&amp;csf=1&amp;web=1&amp;e=5c0lMr</t>
  </si>
  <si>
    <t>⁠.NET Core Microservices</t>
  </si>
  <si>
    <t>https://fptsoftware362.sharepoint.com/:x:/r/sites/FSO.DataStorage.Pay/FSO.FSA/Shared%20Documents/FSA/1.%20Learning%20Solutions%20(LS)/1.%20FSA%20NLS/3.%20Senior%20Training/2025/10.%20LMS%20Public%20course/1.%20EM.Cls_T_ER_NET-Micro_HN25_01/1.%20Content%20Management/1.%20Syllabus/NET%20Microservices%20Syllabus_v0.1%20(1).xlsx?d=w696ba063c7e545d094e1c47293842e5b&amp;csf=1&amp;web=1&amp;e=JQJ8Wt</t>
  </si>
  <si>
    <t>Microservices Development In ASP.NET Core</t>
  </si>
  <si>
    <t>https://fptsoftware362.sharepoint.com/:x:/r/sites/FSO.DataStorage.Pay/FSO.FSA/_layouts/15/Doc.aspx?sourcedoc=%7B69700CEC-AD9D-4ED1-B1DA-BFF53EA51101%7D&amp;file=Syllabus%20L%E1%BB%9Bp%20.NET%20_03.xlsx&amp;action=default&amp;mobileredirect=true</t>
  </si>
  <si>
    <t>Authentication &amp; Authorization_ASP.NET</t>
  </si>
  <si>
    <t>https://fptsoftware362.sharepoint.com/:x:/r/sites/FSO.DataStorage.Pay/FSO.FSA/Shared%20Documents/FSA/1.%20Learning%20Solutions%20(LS)/2.%20FSA%20CLS/CE/3.Training%20Program/5.Technology/Technical%20Upskilling%20Program/FSA.EC/EM.Cls_T_ER_JA%26A_DN25_02/1.Content%20Management/Authentication_and_Authorizatio_ASP.NET_Core__Syllabus_v0.3.xlsx?d=w322c47578a9e4f298e5c8e15d265111b&amp;csf=1&amp;web=1&amp;e=ioPxhD</t>
  </si>
  <si>
    <t>Java</t>
  </si>
  <si>
    <t>Java Authentication &amp; Authorization</t>
  </si>
  <si>
    <t>https://fptsoftware362.sharepoint.com/:x:/r/sites/FSO.DataStorage.Pay/FSO.FSA/Shared%20Documents/FSA/1.%20Learning%20Solutions%20(LS)/2.%20FSA%20CLS/CE/3.Training%20Program/5.Technology/Technical%20Upskilling%20Program/FSA.EC/EM.Cls_T_ER_JA%26A_DN25_01/1.%20Content%20Management/Syllabus_DN25_Java_Security_01_v1.0.xlsx?d=w152ec68a658e41878d7d760dd01a85d8&amp;csf=1&amp;web=1&amp;e=wLPdIM</t>
  </si>
  <si>
    <t>Java Spring Microservices</t>
  </si>
  <si>
    <t>https://fptsoftware362.sharepoint.com/:x:/r/sites/FSO.DataStorage.Pay/FSO.FSA/Shared%20Documents/FSA/1.%20Learning%20Solutions%20(LS)/2.%20FSA%20CLS/CE/3.Training%20Program/5.Technology/Technical%20Upskilling%20Program/FSA/EM.Cls_T_ER_JSM_DN25_01/1.Content%20Management/DN25_Java_Spring_Micro_01_v1.0%20(1).xlsx?d=w7afa500fbcf1490295f222b9e7b6b9ad&amp;csf=1&amp;web=1&amp;e=vjKnf2</t>
  </si>
  <si>
    <t>EC Training</t>
  </si>
  <si>
    <t>Java Spring Framework Development</t>
  </si>
  <si>
    <t>https://fptsoftware362.sharepoint.com/:x:/r/sites/FSO.DataStorage.Pay/FSO.FSA/Shared%20Documents/FSA/1.%20Learning%20Solutions%20(LS)/2.%20FSA%20CLS/CE/3.Training%20Program/5.Technology/Technical%20Upskilling%20Program/FSA.EC/EM.Cls_T_ER_JAVASFD_DN25_01/1.Content%20Management/syllabus.xls?d=w1a5d80e0315941a98a24ce4d59392c52&amp;csf=1&amp;web=1&amp;e=D2MeLG</t>
  </si>
  <si>
    <t>JAVA Oracle Certified Associate (OCA) </t>
  </si>
  <si>
    <t>https://fptsoftware362.sharepoint.com/:x:/r/sites/FSO.DataStorage.Pay/FSO.FSA/Shared%20Documents/FSA/1.%20Learning%20Solutions%20(LS)/3.%20FSA%20SLS/Continuous%20Education/2025/Training%20Programs/IT%20Technical/EM.Cls_T_ER_OCA_HCM25_01/Information/OCA_Java_Programmer_OCAJP_Syllabus1.xlsx?d=w1bb8011dc6f149d8bdeb757ac43c6700&amp;csf=1&amp;web=1&amp;e=eANaub</t>
  </si>
  <si>
    <t>Java Intermediate</t>
  </si>
  <si>
    <t>https://fptsoftware362.sharepoint.com/:x:/r/sites/FSO.DataStorage.Pay/FSO.FSA/Shared%20Documents/FSA/1.%20Learning%20Solutions%20(LS)/1.%20FSA%20NLS/3.%20Senior%20Training/2025/5.%20Technology%20and%20Platform/4.%20Upskilling/3.%20F1/1.%20EM.Cls_T_ER_F1Z1_JIU_HN25_02/1.%20Content%20Management/1.%20Syllabus/F1_Z1_Java_Intermediate_Syllabus_v1.0%20(003)%20(1).xlsx?d=w410ce5e431de404ea011571b50142d04&amp;csf=1&amp;web=1&amp;e=6A0wwE</t>
  </si>
  <si>
    <t>Java (Struts Framework &amp; Spring Framework)</t>
  </si>
  <si>
    <t>https://fptsoftware362.sharepoint.com/:x:/r/sites/FSO.DataStorage.Pay/FSO.FSA/Shared%20Documents/FSA/1.%20Learning%20Solutions%20(LS)/2.%20FSA%20CLS/CE/3.Training%20Program/5.Technology/Technical%20Upskilling%20Program/F1/EM.Cls_T_ER_J4D_DN25_01/1.Content%20Management/Content/DN25_Java_Spring_Micro_01_forEC_v1.1.xlsx?d=w416a8f8597074f75b75bfef478cb1999&amp;csf=1&amp;web=1&amp;e=BNceVn</t>
  </si>
  <si>
    <t>Java SE</t>
  </si>
  <si>
    <t>Java SE 11 Developer Oracle Certified Professional (OCP)</t>
  </si>
  <si>
    <t>https://fptsoftware362.sharepoint.com/:x:/r/sites/FSO.DataStorage.Pay/FSO.FSA/Shared%20Documents/FSA/1.%20Learning%20Solutions%20(LS)/2.%20FSA%20CLS/CE/3.Training%20Program/5.Technology/Technical%20Upskilling%20Program/FSA/EM.Cls_T_ER_JSE%2001_DN25_01/1.Content%20Management/Sysllabus/Syllabus_JAVASE11_OCP_v1.0.xls?d=w5211f2624d7846dda8ec2b93de3ff8ec&amp;csf=1&amp;web=1&amp;e=NnBKVH</t>
  </si>
  <si>
    <t>Java/Kotlin with Spring Boot</t>
  </si>
  <si>
    <t>Kotlin with Spring Boot</t>
  </si>
  <si>
    <t>https://fptsoftware362.sharepoint.com/:x:/r/sites/FSO.DataStorage.Pay/FSO.FSA/Shared%20Documents/FSA/1.%20Learning%20Solutions%20(LS)/1.%20FSA%20NLS/3.%20Senior%20Training/2025/5.%20Technology%20and%20Platform/4.%20Upskilling/3.%20F1/8.%20EM.Cls_T_ER_KSB_HN25_01/1.%20Content%20Management/1.%20Syllabus/Kotlin_With_Spring_Boot_Training%20Topic%20Syllabus_v1.xlsx?d=w4fa63f67f91841018d1c647e256d0d1c&amp;csf=1&amp;web=1&amp;e=gdB4LG</t>
  </si>
  <si>
    <t>NodeJS</t>
  </si>
  <si>
    <t>NodeJS with NestJS Framework Associate</t>
  </si>
  <si>
    <t>https://fptsoftware362.sharepoint.com/:x:/r/sites/FSO.DataStorage.Pay/FSO.FSA/Shared%20Documents/FSA/1.%20Learning%20Solutions%20(LS)/1.%20FSA%20NLS/3.%20Senior%20Training/2025/10.%20LMS%20Public%20course/8.%20EM.Cls_T_ER_NNJS_HN25_01/1.%20Content%20Management/1.%20Syllabus/NodeJS%20with%20NestJS%20-%20Course%20Content.xlsx?d=wa4537a6676624d419e0e8be51ac8560f&amp;csf=1&amp;web=1&amp;e=j3K0AD</t>
  </si>
  <si>
    <t>NodeJS Developer</t>
  </si>
  <si>
    <t>https://fptsoftware362.sharepoint.com/:x:/r/sites/FSO.DataStorage.Pay/FSO.FSA/Shared%20Documents/FSA/1.%20Learning%20Solutions%20(LS)/1.%20FSA%20NLS/3.%20Senior%20Training/2025/10.%20LMS%20Public%20course/2.%20EM.Cls_T_ER_NodeJS-DEV_HN25_01/1.%20Content%20Management/1.%20Syllabus/NodeJS%20Developer%20-%20Syllabus%201.xlsx?d=w2d3885b78d81411a8bf362b3b6eee50b&amp;csf=1&amp;web=1&amp;e=1FlIRx</t>
  </si>
  <si>
    <t>Complete NodeJS</t>
  </si>
  <si>
    <t>https://fptsoftware362.sharepoint.com/:x:/r/sites/FSO.DataStorage.Pay/FSO.FSA/Shared%20Documents/FSA/1.%20Learning%20Solutions%20(LS)/2.%20FSA%20CLS/CE/3.Training%20Program/5.Technology/Technical%20Upskilling%20Program/FSA.EC/EM.Cls_T_ER_CNJS_DN25_01/1.Content%20Management/Complete_NodeJS_Enrich_Syllabus.xlsx?d=w3c7bf4320c984cf4a282531f4b574bc8&amp;csf=1&amp;web=1&amp;e=HVuHaa</t>
  </si>
  <si>
    <t>Backend_NodeJS</t>
  </si>
  <si>
    <t>https://fptsoftware362.sharepoint.com/:x:/r/sites/FSO.DataStorage.Pay/FSO.FSA/Shared%20Documents/FSA/1.%20Learning%20Solutions%20(LS)/1.%20FSA%20NLS/3.%20Senior%20Training/2025/5.%20Technology%20and%20Platform/4.%20Upskilling/11.%20EC/3.%20EM.Cls_T_ER_BNJS_HN25_01/1.%20Content%20Management/1.%20Syllabus/Backend%20NodeJS_Syllabus_Calendar_01.xlsx?d=w18e08373cc87467b8aa3f8bfe93f7a77&amp;csf=1&amp;web=1&amp;e=eAfoZQ</t>
  </si>
  <si>
    <t xml:space="preserve">NodeJS </t>
  </si>
  <si>
    <t>NodeJS with ReactJS</t>
  </si>
  <si>
    <t>https://fptsoftware362.sharepoint.com/:x:/r/sites/FSO.DataStorage.Pay/FSO.FSA/Shared%20Documents/FSA/1.%20Learning%20Solutions%20(LS)/2.%20FSA%20CLS/CE/3.Training%20Program/5.Technology/Technical%20Upskilling%20Program/FSA/EM.Cls_T_ER_N%26R_DN25_01/1.Content%20Management/FSA_Enrich_ReactNode.xlsx?d=wceadf916ea594fca8e76913f70cd91b5&amp;csf=1&amp;web=1&amp;e=WaK7bO</t>
  </si>
  <si>
    <t>Cloud &amp; DevOps</t>
  </si>
  <si>
    <t>AWS</t>
  </si>
  <si>
    <t>AWS Solution Architect – Associate (SAA)</t>
  </si>
  <si>
    <t>https://fptsoftware362.sharepoint.com/:x:/r/sites/FSO.DataStorage.Pay/FSO.FSA/Shared%20Documents/FSA/7.%20FSA%20Training%20Content/1.%20Core%20Content/2.%20Senior%20Training/WIP/2.%20Cloud/3.%20Clouds%20-%20AWS,%20Azure%20-%20Syllabus/AWS_Syllabus_Solution_Architect_SAA_v0.7.xlsx?d=wae4c93703c724e86a6521ca1179614c5&amp;csf=1&amp;web=1&amp;e=hci8Lt</t>
  </si>
  <si>
    <t>AWS Certified Developer - Associate</t>
  </si>
  <si>
    <t>https://fptsoftware362.sharepoint.com/:x:/r/sites/FSO.DataStorage.Pay/FSO.FSA/Shared%20Documents/FSA/1.%20Learning%20Solutions%20(LS)/9.%20LS%20Programs/UpSkill_Reskill%20Program%20for%20Delivery/2025/1.%20Senior%20Technical%20Training%20Materials/Cloud_AWS_Certified_SysOps_Administrator_Associate_2025/FSA_AWS_Certified_SysOps_Administrator_Associate_Syllabus_v0.2.xlsx?d=wfbd47ff1ed094b55b9eccf832a48d04e&amp;csf=1&amp;web=1&amp;e=jLLwWY</t>
  </si>
  <si>
    <t>AWS Cloud Fundamentals &amp; Administration Training</t>
  </si>
  <si>
    <t>https://fptsoftware362.sharepoint.com/:x:/r/sites/FSO.DataStorage.Pay/FSO.FSA/Shared%20Documents/FSA/1.%20Learning%20Solutions%20(LS)/9.%20LS%20Programs/UpSkill_Reskill%20Program%20for%20Delivery/2025/1.%20Senior%20Technical%20Training%20Materials/AWS%20Cloud%20Fundamentals%20%26%20Administration_F1_2025/F1_CSM_Cloud_AWS_Syllabus_Sysops_v1.2.xlsx?d=we47937e57d6b4f39bdda9c93240b860b&amp;csf=1&amp;web=1&amp;e=j9Yn1z</t>
  </si>
  <si>
    <t>Azure</t>
  </si>
  <si>
    <t>Azure Cloud CICD &amp; IaC</t>
  </si>
  <si>
    <t>https://fptsoftware362.sharepoint.com/:x:/r/sites/FSO.DataStorage.Pay/FSO.FSA/Shared%20Documents/FSA/1.%20Learning%20Solutions%20(LS)/9.%20LS%20Programs/UpSkill_Reskill%20Program%20for%20Delivery/2025/1.%20Senior%20Technical%20Training%20Materials/Azure%20Cloud%20Fundamentals%20%26%20Administration_F1_2025/F1.CSM_CICD_IaC_Cloud_Azure_Syllabus_v0.1%201%20(1).xlsx?d=wc880d39695144d68b5b0a9537827ebb8&amp;csf=1&amp;web=1&amp;e=HKOmrb</t>
  </si>
  <si>
    <t>Azure Cloud Fundamentals &amp; Administration</t>
  </si>
  <si>
    <t>https://fptsoftware362.sharepoint.com/:x:/r/sites/FSO.DataStorage.Pay/FSO.FSA/Shared%20Documents/FSA/1.%20Learning%20Solutions%20(LS)/9.%20LS%20Programs/UpSkill_Reskill%20Program%20for%20Delivery/2025/1.%20Senior%20Technical%20Training%20Materials/Azure%20Cloud%20Fundamentals%20%26%20Administration_F1_2025/F1.CSM_Fundamentals_Administration_Cloud_Azure_Syllabus_v0.1%201%20(1).xlsx?d=wcc58b1b04f8d474d9c9c1b3b321403d9&amp;csf=1&amp;web=1&amp;e=Wmt7xP</t>
  </si>
  <si>
    <t xml:space="preserve">Azure </t>
  </si>
  <si>
    <t>AZ104: Microsoft Azure Administrator</t>
  </si>
  <si>
    <t>https://fptsoftware362.sharepoint.com/:x:/r/sites/FSO.DataStorage.Pay/FSO.FSA/Shared%20Documents/FSA/1.%20Learning%20Solutions%20(LS)/9.%20LS%20Programs/UpSkill_Reskill%20Program%20for%20Delivery/2025/1.%20Senior%20Technical%20Training%20Materials/Cloud_Azure_AZ104_Associate_2025/AZ104_Syllabus_v2.3.xlsx?d=wc555ec62874f48999067e7b3f1c65b6b&amp;csf=1&amp;web=1&amp;e=gDWc2K</t>
  </si>
  <si>
    <t>Azure Fundamentals (AZ-900)</t>
  </si>
  <si>
    <t>https://fptsoftware362.sharepoint.com/:x:/r/sites/FSO.DataStorage.Pay/FSO.FSA/Shared%20Documents/FSA/0.%20General/8.%20Program%20FSA/Skill-First%20Program/Skill%20mapping%20from%20Training%20programs/2025%20Program/Batch2_P2%20sent%20070125/Azure%20Fundamentals%20(AZ-900)/AZ900_Syllabus_v1.4.xlsx?d=wdcfa39bf8d4e4c41ad9376146627402c&amp;csf=1&amp;web=1&amp;e=ovKi8b</t>
  </si>
  <si>
    <t>Azure Administrator</t>
  </si>
  <si>
    <t>Microsoft - Azure Administrator (AZ-104)</t>
  </si>
  <si>
    <t>https://fptsoftware362.sharepoint.com/:x:/r/sites/FSO.DataStorage.Pay/FSO.FSA/Shared%20Documents/FSA/1.%20Learning%20Solutions%20(LS)/2.%20FSA%20CLS/CE/3.Training%20Program/5.Technology/Technical%20Upskilling%20Program/FSA/EM.Cls_T_ER_AZ104_DN25_02/1.Content%20Management/Cloud_Azure_AZ104_Associate_Syllabus_v2.2%20(1).xlsx?d=w860cbb959a2142ebb65392b1417c105b&amp;csf=1&amp;web=1&amp;e=o9hult</t>
  </si>
  <si>
    <t>Azure DevOps</t>
  </si>
  <si>
    <t>Azure DevOps (AZ-400)</t>
  </si>
  <si>
    <t>https://fptsoftware362.sharepoint.com/:x:/r/sites/FSO.DataStorage.Pay/FSO.FSA/Shared%20Documents/FSA/1.%20Learning%20Solutions%20(LS)/9.%20LS%20Programs/UpSkill_Reskill%20Program%20for%20Delivery/2025/1.%20Senior%20Technical%20Training%20Materials/Azure%20Devops%20400_F1_2025/PSI_Intermediate%20Azure%20DevOps_Syllabus_v1.2.xlsx?d=wcfeaebf21efd4a63af1e94605ff0daea&amp;csf=1&amp;web=1&amp;e=5k6eOn</t>
  </si>
  <si>
    <t>GCP</t>
  </si>
  <si>
    <t>Google Professional Cloud Architect_PCA</t>
  </si>
  <si>
    <t>https://fptsoftware362.sharepoint.com/:x:/r/sites/FSO.DataStorage.Pay/FSO.FSA/Shared%20Documents/FSA/1.%20Learning%20Solutions%20(LS)/9.%20LS%20Programs/UpSkill_Reskill%20Program%20for%20Delivery/2025/1.%20Senior%20Technical%20Training%20Materials/Advanced_GCP_GHC_2025/Google%20Professional%20Cloud%20Architect_PCA_Syllabus.1.0.1%20(1).xlsx?d=w2777591e3b0b4040880209fc9f21363b&amp;csf=1&amp;web=1&amp;e=ibRSlt</t>
  </si>
  <si>
    <t xml:space="preserve">Kubernetes </t>
  </si>
  <si>
    <t>Certified Kubernetes Application Developer (CKAD)</t>
  </si>
  <si>
    <t>https://fptsoftware362-my.sharepoint.com/:x:/r/personal/linhhd5_fpt_com/Documents/FSA.CLS/Guide%20Plan_Enrich%20Skill%20with%20FSU/Kubernetes%20Certification%20-%20CKAD/Syllabus/CKAD_Training.xlsx?d=wd82eea8450284459aedca965198d7495&amp;csf=1&amp;web=1&amp;e=4DddwG</t>
  </si>
  <si>
    <t>Front-end</t>
  </si>
  <si>
    <t>Angular</t>
  </si>
  <si>
    <t>https://fptsoftware362.sharepoint.com/:x:/r/sites/FSO.DataStorage.Pay/FSO.FSA/Shared%20Documents/FSA/1.%20Learning%20Solutions%20(LS)/1.%20FSA%20NLS/3.%20Senior%20Training/2025/5.%20Technology%20and%20Platform/4.%20Upskilling/1.%20FHN/7.%20EM.Cls_T_ER_ANGULAR_HN25_01/1.%20Content%20Management/1.%20Syllabus/Angular_Reskill_Syllabus_v1.0.xlsx?d=wd33bbe793c114886b5ec5eeef1edebde&amp;csf=1&amp;web=1&amp;e=bIxnNN</t>
  </si>
  <si>
    <t>ReactJS</t>
  </si>
  <si>
    <t>Front-End ReactJS</t>
  </si>
  <si>
    <t>https://fptsoftware362.sharepoint.com/:x:/r/sites/FSO.DataStorage.Pay/FSO.FSA/Shared%20Documents/FSA/1.%20Learning%20Solutions%20(LS)/1.%20FSA%20NLS/3.%20Senior%20Training/2025/5.%20Technology%20and%20Platform/4.%20Upskilling/10.%20SCM/2.%20EM.Cls_T_ER_FE-REACTJS_HN25_01/1.%20Content%20Management/1.%20Syllabus/ER_2025_SCM_Front-End%20ReactJS_Syllabus_2.0.xlsx?d=w318dcb6f31ba4ca58b15e9f02e6d601a&amp;csf=1&amp;web=1&amp;e=FZzSzU</t>
  </si>
  <si>
    <t>ReactJS &amp; NextJS</t>
  </si>
  <si>
    <t>Micro-Frontend: ReactJS &amp; NextJS</t>
  </si>
  <si>
    <t>https://fptsoftware362.sharepoint.com/:x:/r/sites/FSO.DataStorage.Pay/FSO.FSA/Shared%20Documents/FSA/1.%20Learning%20Solutions%20(LS)/2.%20FSA%20CLS/CE/3.Training%20Program/5.Technology/Technical%20Upskilling%20Program/FSA/EM.Cls_T_ER_MFRN_DN25_01/1.Content%20Management/Micro-Frontend%20-%20ReactJS%20%26%20NextJS.xlsx?d=wc2bd425177b34429994bc3903dc0bc03&amp;csf=1&amp;web=1&amp;e=MVm4M6</t>
  </si>
  <si>
    <t>Web Full-stack</t>
  </si>
  <si>
    <t>Web Full-stack Foundation (MongoDB)</t>
  </si>
  <si>
    <t>https://fptsoftware362.sharepoint.com/:x:/r/sites/FSO.DataStorage.Pay/FSO.FSA/Shared%20Documents/FSA/1.%20Learning%20Solutions%20(LS)/2.%20FSA%20CLS/CE/3.Training%20Program/5.Technology/Technical%20Upskilling%20Program/FSA.EC/EM.Cls_T_ER_WFsF_DN25_01/1.Content%20Management/Enrich%20Web%20FullStack%20Foundation%20Syllabus%20(MongoDB)%20-%207%20days.xlsx?d=w61a64e1c6e664565be3a4d006c873bdc&amp;csf=1&amp;web=1&amp;e=l9RBhY</t>
  </si>
  <si>
    <t>Non IT &amp; Support &amp; IT Services</t>
  </si>
  <si>
    <t>DevOps</t>
  </si>
  <si>
    <t>https://fptsoftware362.sharepoint.com/:x:/r/sites/FSO.DataStorage.Pay/FSO.FSA/Shared%20Documents/FSA/1.%20Learning%20Solutions%20(LS)/2.%20FSA%20CLS/CE/3.Training%20Program/5.Technology/Technical%20Upskilling%20Program/F1/EM.Cls_T_ER_DEVOPSF_DN25_01/1.%20Content%20Management/FSOFT_F1_G5_Devops_Syllabus_v0.7.xlsx?d=w065b05f9f3eb47aa8c4dc8599391c381&amp;csf=1&amp;web=1&amp;e=yFK7b0</t>
  </si>
  <si>
    <t>PM/BA/SA/BC</t>
  </si>
  <si>
    <t>SA</t>
  </si>
  <si>
    <t>Software Architecture and Design Fundamental</t>
  </si>
  <si>
    <t>https://fptsoftware362.sharepoint.com/:x:/r/sites/FSO.DataStorage.Pay/FSO.FSA/Shared%20Documents/FSA/1.%20Learning%20Solutions%20(LS)/2.%20FSA%20CLS/CE/3.Training%20Program/5.Technology/Technical%20Upskilling%20Program/FSA/EM.Cls_T_ER_SADF_DN25_01/1.%20Content%20Management/Software_Architecture%20Syllabus.xlsx?d=wf62b488c6a234ff59855a04a9a42dfc8&amp;csf=1&amp;web=1&amp;e=E8SCtC</t>
  </si>
  <si>
    <t>SA &amp; Design</t>
  </si>
  <si>
    <t>Software Architecture and Design</t>
  </si>
  <si>
    <t>https://fptsoftware362.sharepoint.com/:x:/r/sites/FSO.DataStorage.Pay/FSO.FSA/Shared%20Documents/FSA/1.%20Learning%20Solutions%20(LS)/2.%20FSA%20CLS/CE/3.Training%20Program/5.Technology/Technical%20Upskilling%20Program/FSA/EM.Cls_T_ER_SADF_DN25_01/1.%20Content%20Management/Software_Architecture%20Syllabus.xlsx?d=wf62b488c6a234ff59855a04a9a42dfc8&amp;csf=1&amp;web=1&amp;e=WlQ9zh</t>
  </si>
  <si>
    <t>Mức độ ưu tiên (Priority)</t>
  </si>
  <si>
    <t>Mô tả</t>
  </si>
  <si>
    <t>Các module học tập là bắt buộc trong chương trình học</t>
  </si>
  <si>
    <t>Các module này là tùy chọn, nếu thấy phù hợp thì có thể sử dụng</t>
  </si>
  <si>
    <t>Module có skill đặc thù của đơn vị (Đơn vị cần bổ sung mục tiêu và làm syllabus cho phần này)</t>
  </si>
  <si>
    <t>Checked</t>
  </si>
  <si>
    <t>Module phù hợp với định hướng đào tạo nguồn lực cho dự án</t>
  </si>
  <si>
    <t>UnChecked</t>
  </si>
  <si>
    <t>Module KHÔNG phù hợp với định hướng đào tạo nguồn lực cho 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</si>
</sst>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Aptos Narrow"/>
      <family val="2"/>
      <scheme val="minor"/>
    </font>
    <font>
      <b/>
      <sz val="11"/>
      <color theme="1"/>
      <name val="Aptos Narrow"/>
      <family val="2"/>
      <scheme val="minor"/>
    </font>
    <font>
      <b/>
      <sz val="10"/>
      <name val="Arial"/>
      <family val="2"/>
    </font>
    <font>
      <b/>
      <sz val="10"/>
      <name val="Arial"/>
    </font>
    <font>
      <b/>
      <sz val="9"/>
      <color rgb="FF000000"/>
      <name val="Arial"/>
    </font>
    <font>
      <sz val="9"/>
      <color rgb="FF000000"/>
      <name val="Arial"/>
    </font>
    <font>
      <sz val="9"/>
      <name val="Arial"/>
    </font>
    <font>
      <u/>
      <sz val="11"/>
      <color theme="10"/>
      <name val="Calibri"/>
      <family val="2"/>
      <scheme val="minor"/>
    </font>
    <font>
      <b/>
      <sz val="11"/>
      <color rgb="FF000000"/>
      <name val="Aptos Narrow"/>
      <scheme val="minor"/>
    </font>
    <font>
      <sz val="11"/>
      <color rgb="FF000000"/>
      <name val="Aptos Narrow"/>
      <scheme val="minor"/>
    </font>
    <font>
      <sz val="9"/>
      <color rgb="FF000000"/>
      <name val="Arial"/>
      <charset val="1"/>
    </font>
    <font>
      <b/>
      <sz val="11"/>
      <color rgb="FF000000"/>
      <name val="Aptos Narrow"/>
    </font>
    <font>
      <sz val="11"/>
      <color rgb="FF000000"/>
      <name val="Aptos Narrow"/>
    </font>
    <font>
      <sz val="11"/>
      <color rgb="FF000000"/>
      <name val="Aptos Narrow"/>
      <family val="2"/>
      <scheme val="minor"/>
    </font>
    <font>
      <b/>
      <i/>
      <sz val="11"/>
      <color rgb="FF000000"/>
      <name val="Aptos Narrow"/>
      <scheme val="minor"/>
    </font>
    <font>
      <sz val="11"/>
      <color theme="1"/>
      <name val="Aptos Narrow"/>
      <scheme val="minor"/>
    </font>
  </fonts>
  <fills count="12">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rgb="FFCCFFCC"/>
        <bgColor rgb="FF000000"/>
      </patternFill>
    </fill>
    <fill>
      <patternFill patternType="solid">
        <fgColor rgb="FFB5E6A2"/>
        <bgColor rgb="FF000000"/>
      </patternFill>
    </fill>
    <fill>
      <patternFill patternType="solid">
        <fgColor rgb="FFFFFF0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rgb="FFFFFFFF"/>
        <bgColor rgb="FFFAFAFA"/>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bottom/>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color rgb="FF333333"/>
      </top>
      <bottom/>
      <diagonal/>
    </border>
    <border>
      <left/>
      <right style="thin">
        <color rgb="FF333333"/>
      </right>
      <top style="thin">
        <color rgb="FF333333"/>
      </top>
      <bottom style="thin">
        <color rgb="FF333333"/>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333333"/>
      </right>
      <top style="thin">
        <color rgb="FF000000"/>
      </top>
      <bottom/>
      <diagonal/>
    </border>
    <border>
      <left style="thin">
        <color rgb="FF000000"/>
      </left>
      <right style="thin">
        <color rgb="FF333333"/>
      </right>
      <top/>
      <bottom style="thin">
        <color rgb="FF333333"/>
      </bottom>
      <diagonal/>
    </border>
    <border>
      <left style="thin">
        <color rgb="FF000000"/>
      </left>
      <right style="thin">
        <color rgb="FF333333"/>
      </right>
      <top style="thin">
        <color rgb="FF333333"/>
      </top>
      <bottom/>
      <diagonal/>
    </border>
    <border>
      <left style="thin">
        <color rgb="FF000000"/>
      </left>
      <right/>
      <top style="thin">
        <color rgb="FF333333"/>
      </top>
      <bottom/>
      <diagonal/>
    </border>
    <border>
      <left style="thin">
        <color rgb="FF333333"/>
      </left>
      <right/>
      <top style="thin">
        <color rgb="FF333333"/>
      </top>
      <bottom style="thin">
        <color rgb="FF333333"/>
      </bottom>
      <diagonal/>
    </border>
    <border>
      <left style="thin">
        <color rgb="FF333333"/>
      </left>
      <right style="thin">
        <color rgb="FF333333"/>
      </right>
      <top/>
      <bottom/>
      <diagonal/>
    </border>
    <border>
      <left/>
      <right style="thin">
        <color indexed="64"/>
      </right>
      <top/>
      <bottom/>
      <diagonal/>
    </border>
    <border>
      <left style="thin">
        <color rgb="FF000000"/>
      </left>
      <right style="thin">
        <color rgb="FF333333"/>
      </right>
      <top/>
      <bottom/>
      <diagonal/>
    </border>
    <border>
      <left/>
      <right style="thin">
        <color rgb="FF333333"/>
      </right>
      <top style="thin">
        <color rgb="FF333333"/>
      </top>
      <bottom/>
      <diagonal/>
    </border>
    <border>
      <left/>
      <right/>
      <top style="thin">
        <color indexed="64"/>
      </top>
      <bottom/>
      <diagonal/>
    </border>
    <border>
      <left/>
      <right style="thin">
        <color indexed="64"/>
      </right>
      <top style="thin">
        <color indexed="64"/>
      </top>
      <bottom/>
      <diagonal/>
    </border>
    <border>
      <left style="thin">
        <color rgb="FF333333"/>
      </left>
      <right/>
      <top/>
      <bottom style="thin">
        <color rgb="FF333333"/>
      </bottom>
      <diagonal/>
    </border>
    <border>
      <left/>
      <right/>
      <top style="thin">
        <color rgb="FF000000"/>
      </top>
      <bottom style="thin">
        <color rgb="FF000000"/>
      </bottom>
      <diagonal/>
    </border>
    <border>
      <left style="thin">
        <color rgb="FF333333"/>
      </left>
      <right style="thin">
        <color rgb="FF333333"/>
      </right>
      <top/>
      <bottom style="thin">
        <color rgb="FF333333"/>
      </bottom>
      <diagonal/>
    </border>
    <border>
      <left/>
      <right/>
      <top style="thin">
        <color rgb="FF333333"/>
      </top>
      <bottom style="thin">
        <color rgb="FF333333"/>
      </bottom>
      <diagonal/>
    </border>
    <border>
      <left/>
      <right style="thin">
        <color rgb="FF000000"/>
      </right>
      <top style="thin">
        <color rgb="FF333333"/>
      </top>
      <bottom/>
      <diagonal/>
    </border>
  </borders>
  <cellStyleXfs count="2">
    <xf numFmtId="0" fontId="0" fillId="0" borderId="0"/>
    <xf numFmtId="0" fontId="7" fillId="0" borderId="0" applyNumberFormat="0" applyFill="0" applyBorder="0" applyAlignment="0" applyProtection="0"/>
  </cellStyleXfs>
  <cellXfs count="298">
    <xf numFmtId="0" fontId="0" fillId="0" borderId="0" xfId="0"/>
    <xf numFmtId="0" fontId="0" fillId="0" borderId="1" xfId="0" applyBorder="1" applyAlignment="1">
      <alignment vertical="center"/>
    </xf>
    <xf numFmtId="0" fontId="0" fillId="0" borderId="1" xfId="0" applyBorder="1" applyAlignment="1">
      <alignment vertical="center" wrapText="1"/>
    </xf>
    <xf numFmtId="0" fontId="0" fillId="0" borderId="4" xfId="0" applyBorder="1" applyAlignment="1">
      <alignment vertical="center"/>
    </xf>
    <xf numFmtId="0" fontId="0" fillId="0" borderId="3" xfId="0" applyBorder="1" applyAlignment="1">
      <alignment vertical="center"/>
    </xf>
    <xf numFmtId="0" fontId="0" fillId="0" borderId="8" xfId="0" applyBorder="1"/>
    <xf numFmtId="0" fontId="1" fillId="3" borderId="8" xfId="0" applyFont="1" applyFill="1" applyBorder="1"/>
    <xf numFmtId="16" fontId="0" fillId="0" borderId="1" xfId="0" quotePrefix="1" applyNumberFormat="1" applyBorder="1" applyAlignment="1">
      <alignment horizontal="center" vertical="center"/>
    </xf>
    <xf numFmtId="0" fontId="0" fillId="0" borderId="10" xfId="0" applyBorder="1" applyAlignment="1">
      <alignment horizontal="left" vertical="center"/>
    </xf>
    <xf numFmtId="0" fontId="0" fillId="0" borderId="7" xfId="0" applyBorder="1" applyAlignment="1">
      <alignment vertical="center"/>
    </xf>
    <xf numFmtId="0" fontId="2" fillId="4" borderId="8" xfId="0" applyFont="1" applyFill="1" applyBorder="1" applyAlignment="1">
      <alignment horizontal="center" vertical="center"/>
    </xf>
    <xf numFmtId="0" fontId="2" fillId="4" borderId="8" xfId="0" applyFont="1" applyFill="1" applyBorder="1" applyAlignment="1">
      <alignment horizontal="center" vertical="center" wrapText="1"/>
    </xf>
    <xf numFmtId="0" fontId="3" fillId="4" borderId="8" xfId="0" applyFont="1" applyFill="1" applyBorder="1" applyAlignment="1">
      <alignment horizontal="center" vertical="center"/>
    </xf>
    <xf numFmtId="0" fontId="3" fillId="4" borderId="8" xfId="0" applyFont="1" applyFill="1" applyBorder="1" applyAlignment="1">
      <alignment horizontal="center" vertical="center" wrapText="1"/>
    </xf>
    <xf numFmtId="0" fontId="0" fillId="0" borderId="4" xfId="0" applyBorder="1" applyAlignment="1">
      <alignment horizontal="center" vertical="center" wrapText="1"/>
    </xf>
    <xf numFmtId="0" fontId="0" fillId="0" borderId="8" xfId="0" applyBorder="1" applyAlignment="1">
      <alignment vertical="center"/>
    </xf>
    <xf numFmtId="0" fontId="0" fillId="0" borderId="8" xfId="0" applyBorder="1" applyAlignment="1">
      <alignment vertical="center" wrapText="1"/>
    </xf>
    <xf numFmtId="0" fontId="0" fillId="0" borderId="3" xfId="0" applyBorder="1" applyAlignment="1">
      <alignment vertical="center" wrapText="1"/>
    </xf>
    <xf numFmtId="0" fontId="0" fillId="0" borderId="12" xfId="0" applyBorder="1" applyAlignment="1">
      <alignment vertical="center"/>
    </xf>
    <xf numFmtId="0" fontId="0" fillId="0" borderId="13" xfId="0" applyBorder="1" applyAlignment="1">
      <alignment vertical="center"/>
    </xf>
    <xf numFmtId="0" fontId="0" fillId="3" borderId="1" xfId="0" applyFill="1" applyBorder="1" applyAlignment="1">
      <alignment vertical="center"/>
    </xf>
    <xf numFmtId="16" fontId="0" fillId="0" borderId="0" xfId="0" applyNumberFormat="1"/>
    <xf numFmtId="0" fontId="0" fillId="0" borderId="1" xfId="0" quotePrefix="1" applyBorder="1" applyAlignment="1">
      <alignment horizontal="center" vertical="center"/>
    </xf>
    <xf numFmtId="0" fontId="0" fillId="3" borderId="4" xfId="0" quotePrefix="1" applyFill="1" applyBorder="1" applyAlignment="1">
      <alignment horizontal="center" vertical="center"/>
    </xf>
    <xf numFmtId="0" fontId="0" fillId="0" borderId="12" xfId="0" applyBorder="1" applyAlignment="1">
      <alignment horizontal="center" vertical="center" wrapText="1"/>
    </xf>
    <xf numFmtId="16" fontId="0" fillId="3" borderId="1" xfId="0" quotePrefix="1" applyNumberFormat="1" applyFill="1" applyBorder="1" applyAlignment="1">
      <alignment horizontal="center" vertical="center"/>
    </xf>
    <xf numFmtId="0" fontId="4" fillId="5" borderId="14" xfId="0" applyFont="1" applyFill="1" applyBorder="1" applyAlignment="1">
      <alignment horizontal="center" vertical="center" wrapText="1"/>
    </xf>
    <xf numFmtId="0" fontId="4" fillId="5" borderId="14" xfId="0" applyFont="1" applyFill="1" applyBorder="1" applyAlignment="1">
      <alignment horizontal="center" vertical="center"/>
    </xf>
    <xf numFmtId="0" fontId="4" fillId="5" borderId="8" xfId="0" applyFont="1" applyFill="1" applyBorder="1" applyAlignment="1">
      <alignment vertical="center" wrapText="1"/>
    </xf>
    <xf numFmtId="0" fontId="4" fillId="5" borderId="14" xfId="0" applyFont="1" applyFill="1" applyBorder="1" applyAlignment="1">
      <alignment vertical="center" wrapText="1"/>
    </xf>
    <xf numFmtId="0" fontId="4" fillId="5" borderId="15" xfId="0" applyFont="1" applyFill="1" applyBorder="1" applyAlignment="1">
      <alignment vertical="center" wrapText="1"/>
    </xf>
    <xf numFmtId="0" fontId="5" fillId="0" borderId="16" xfId="0" applyFont="1" applyBorder="1" applyAlignment="1">
      <alignment vertical="center"/>
    </xf>
    <xf numFmtId="0" fontId="6" fillId="0" borderId="16" xfId="0" applyFont="1" applyBorder="1" applyAlignment="1">
      <alignment vertical="center"/>
    </xf>
    <xf numFmtId="0" fontId="5" fillId="0" borderId="16" xfId="0" applyFont="1" applyBorder="1" applyAlignment="1">
      <alignment vertical="center" wrapText="1"/>
    </xf>
    <xf numFmtId="0" fontId="5" fillId="0" borderId="17" xfId="0" applyFont="1" applyBorder="1" applyAlignment="1">
      <alignment vertical="center"/>
    </xf>
    <xf numFmtId="0" fontId="5" fillId="0" borderId="18" xfId="0" applyFont="1" applyBorder="1" applyAlignment="1">
      <alignment vertical="center"/>
    </xf>
    <xf numFmtId="0" fontId="7" fillId="0" borderId="8" xfId="1" applyFill="1" applyBorder="1" applyAlignment="1">
      <alignment vertical="center"/>
    </xf>
    <xf numFmtId="0" fontId="5" fillId="0" borderId="19" xfId="0" applyFont="1" applyBorder="1" applyAlignment="1">
      <alignment vertical="center"/>
    </xf>
    <xf numFmtId="0" fontId="5" fillId="0" borderId="20" xfId="0" applyFont="1" applyBorder="1" applyAlignment="1">
      <alignment vertical="center"/>
    </xf>
    <xf numFmtId="0" fontId="5" fillId="0" borderId="0" xfId="0" applyFont="1" applyAlignment="1">
      <alignment vertical="center"/>
    </xf>
    <xf numFmtId="0" fontId="7" fillId="0" borderId="13" xfId="1" applyFill="1" applyBorder="1" applyAlignment="1">
      <alignment vertical="center"/>
    </xf>
    <xf numFmtId="0" fontId="6" fillId="0" borderId="18" xfId="0" applyFont="1" applyBorder="1" applyAlignment="1">
      <alignment vertical="center"/>
    </xf>
    <xf numFmtId="0" fontId="6" fillId="0" borderId="8" xfId="0" applyFont="1" applyBorder="1" applyAlignment="1">
      <alignment vertical="center"/>
    </xf>
    <xf numFmtId="0" fontId="5" fillId="0" borderId="8" xfId="0" applyFont="1" applyBorder="1" applyAlignment="1">
      <alignment vertical="center"/>
    </xf>
    <xf numFmtId="0" fontId="7" fillId="0" borderId="8" xfId="1" applyBorder="1"/>
    <xf numFmtId="0" fontId="5" fillId="0" borderId="8" xfId="0" applyFont="1" applyBorder="1" applyAlignment="1">
      <alignment vertical="center" wrapText="1"/>
    </xf>
    <xf numFmtId="0" fontId="7" fillId="0" borderId="17" xfId="1" applyBorder="1"/>
    <xf numFmtId="0" fontId="6" fillId="0" borderId="17" xfId="0" applyFont="1" applyBorder="1" applyAlignment="1">
      <alignment vertical="center"/>
    </xf>
    <xf numFmtId="0" fontId="7" fillId="6" borderId="8" xfId="1" applyFill="1" applyBorder="1"/>
    <xf numFmtId="0" fontId="5" fillId="0" borderId="19" xfId="0" applyFont="1" applyBorder="1" applyAlignment="1">
      <alignment vertical="center" wrapText="1"/>
    </xf>
    <xf numFmtId="0" fontId="6" fillId="0" borderId="21" xfId="0" applyFont="1" applyBorder="1" applyAlignment="1">
      <alignment vertical="center"/>
    </xf>
    <xf numFmtId="0" fontId="5" fillId="0" borderId="17" xfId="0" applyFont="1" applyBorder="1" applyAlignment="1">
      <alignment vertical="center" wrapText="1"/>
    </xf>
    <xf numFmtId="0" fontId="6" fillId="0" borderId="22" xfId="0" applyFont="1" applyBorder="1" applyAlignment="1">
      <alignment vertical="center"/>
    </xf>
    <xf numFmtId="0" fontId="5" fillId="0" borderId="18" xfId="0" applyFont="1" applyBorder="1" applyAlignment="1">
      <alignment vertical="center" wrapText="1"/>
    </xf>
    <xf numFmtId="0" fontId="0" fillId="0" borderId="0" xfId="0" applyAlignment="1">
      <alignment vertical="center"/>
    </xf>
    <xf numFmtId="0" fontId="1" fillId="7"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0" fillId="0" borderId="24" xfId="0" applyBorder="1" applyAlignment="1">
      <alignment vertical="top" wrapText="1"/>
    </xf>
    <xf numFmtId="0" fontId="0" fillId="0" borderId="23" xfId="0" applyBorder="1" applyAlignment="1">
      <alignment vertical="top"/>
    </xf>
    <xf numFmtId="0" fontId="0" fillId="0" borderId="23" xfId="0" applyBorder="1" applyAlignment="1">
      <alignment vertical="top" wrapText="1"/>
    </xf>
    <xf numFmtId="0" fontId="0" fillId="0" borderId="8" xfId="0" applyBorder="1" applyAlignment="1">
      <alignment vertical="top"/>
    </xf>
    <xf numFmtId="0" fontId="0" fillId="0" borderId="24" xfId="0" applyBorder="1" applyAlignment="1">
      <alignment vertical="top"/>
    </xf>
    <xf numFmtId="0" fontId="0" fillId="0" borderId="23" xfId="0" applyBorder="1" applyAlignment="1">
      <alignment horizontal="center" vertical="center"/>
    </xf>
    <xf numFmtId="0" fontId="0" fillId="0" borderId="23" xfId="0" applyBorder="1" applyAlignment="1">
      <alignment horizontal="center" vertical="center" wrapText="1"/>
    </xf>
    <xf numFmtId="0" fontId="0" fillId="0" borderId="8" xfId="0" applyBorder="1" applyAlignment="1">
      <alignment horizontal="left" vertical="center"/>
    </xf>
    <xf numFmtId="0" fontId="0" fillId="9" borderId="8" xfId="0" applyFill="1" applyBorder="1" applyAlignment="1">
      <alignment vertical="center"/>
    </xf>
    <xf numFmtId="0" fontId="0" fillId="0" borderId="0" xfId="0" applyAlignment="1">
      <alignment horizontal="center" vertical="center"/>
    </xf>
    <xf numFmtId="0" fontId="0" fillId="10" borderId="3" xfId="0" applyFill="1" applyBorder="1" applyAlignment="1">
      <alignment vertical="center" wrapText="1"/>
    </xf>
    <xf numFmtId="0" fontId="0" fillId="3" borderId="5" xfId="0" applyFill="1" applyBorder="1" applyAlignment="1">
      <alignment vertical="center"/>
    </xf>
    <xf numFmtId="0" fontId="0" fillId="0" borderId="25" xfId="0" applyBorder="1" applyAlignment="1">
      <alignment vertical="top" wrapText="1"/>
    </xf>
    <xf numFmtId="0" fontId="0" fillId="0" borderId="8" xfId="0" applyBorder="1" applyAlignment="1">
      <alignment vertical="top" wrapText="1"/>
    </xf>
    <xf numFmtId="0" fontId="8" fillId="0" borderId="8" xfId="0" applyFont="1" applyBorder="1" applyAlignment="1">
      <alignment vertical="top" wrapText="1"/>
    </xf>
    <xf numFmtId="2" fontId="0" fillId="0" borderId="23" xfId="0" applyNumberFormat="1" applyBorder="1" applyAlignment="1">
      <alignment horizontal="center" vertical="center"/>
    </xf>
    <xf numFmtId="0" fontId="11" fillId="0" borderId="8" xfId="0" applyFont="1" applyBorder="1" applyAlignment="1">
      <alignment vertical="top" wrapText="1"/>
    </xf>
    <xf numFmtId="0" fontId="0" fillId="0" borderId="8" xfId="0" applyBorder="1" applyAlignment="1">
      <alignment horizontal="center" vertical="center" wrapText="1"/>
    </xf>
    <xf numFmtId="0" fontId="9" fillId="0" borderId="8" xfId="0" applyFont="1" applyBorder="1" applyAlignment="1">
      <alignment vertical="top" wrapText="1"/>
    </xf>
    <xf numFmtId="0" fontId="0" fillId="0" borderId="14" xfId="0" applyBorder="1" applyAlignment="1">
      <alignment vertical="top" wrapText="1"/>
    </xf>
    <xf numFmtId="0" fontId="0" fillId="0" borderId="16" xfId="0" applyBorder="1" applyAlignment="1">
      <alignment vertical="top" wrapText="1"/>
    </xf>
    <xf numFmtId="0" fontId="0" fillId="0" borderId="15" xfId="0" applyBorder="1" applyAlignment="1">
      <alignment vertical="top" wrapText="1"/>
    </xf>
    <xf numFmtId="0" fontId="0" fillId="0" borderId="32" xfId="0" applyBorder="1" applyAlignment="1">
      <alignment horizontal="center" vertical="center" wrapText="1"/>
    </xf>
    <xf numFmtId="0" fontId="0" fillId="0" borderId="32" xfId="0" applyBorder="1" applyAlignment="1">
      <alignment horizontal="center" vertical="center"/>
    </xf>
    <xf numFmtId="0" fontId="0" fillId="0" borderId="14" xfId="0" applyBorder="1" applyAlignment="1">
      <alignment vertical="top"/>
    </xf>
    <xf numFmtId="0" fontId="0" fillId="0" borderId="25" xfId="0" applyBorder="1" applyAlignment="1">
      <alignment vertical="top"/>
    </xf>
    <xf numFmtId="0" fontId="0" fillId="0" borderId="13" xfId="0" applyBorder="1" applyAlignment="1">
      <alignment vertical="top"/>
    </xf>
    <xf numFmtId="0" fontId="0" fillId="0" borderId="33" xfId="0" applyBorder="1" applyAlignment="1">
      <alignment vertical="top"/>
    </xf>
    <xf numFmtId="0" fontId="0" fillId="0" borderId="8" xfId="0" applyBorder="1" applyAlignment="1">
      <alignment horizontal="center" vertical="center"/>
    </xf>
    <xf numFmtId="16" fontId="0" fillId="0" borderId="8" xfId="0" quotePrefix="1" applyNumberFormat="1" applyBorder="1" applyAlignment="1">
      <alignment horizontal="center" vertical="center"/>
    </xf>
    <xf numFmtId="0" fontId="0" fillId="0" borderId="8" xfId="0" quotePrefix="1" applyBorder="1" applyAlignment="1">
      <alignment horizontal="center" vertical="center"/>
    </xf>
    <xf numFmtId="0" fontId="8" fillId="0" borderId="23" xfId="0" applyFont="1" applyBorder="1" applyAlignment="1">
      <alignment vertical="top" wrapText="1"/>
    </xf>
    <xf numFmtId="0" fontId="1" fillId="0" borderId="23" xfId="0" applyFont="1" applyBorder="1" applyAlignment="1">
      <alignment vertical="top" wrapText="1"/>
    </xf>
    <xf numFmtId="0" fontId="8" fillId="0" borderId="25" xfId="0" applyFont="1" applyBorder="1" applyAlignment="1">
      <alignment vertical="top" wrapText="1"/>
    </xf>
    <xf numFmtId="0" fontId="1" fillId="0" borderId="25" xfId="0" applyFont="1" applyBorder="1" applyAlignment="1">
      <alignment vertical="top" wrapText="1"/>
    </xf>
    <xf numFmtId="0" fontId="9" fillId="0" borderId="25" xfId="0" applyFont="1" applyBorder="1" applyAlignment="1">
      <alignment vertical="top" wrapText="1"/>
    </xf>
    <xf numFmtId="0" fontId="0" fillId="0" borderId="23" xfId="0" quotePrefix="1" applyBorder="1" applyAlignment="1">
      <alignment vertical="top" wrapText="1"/>
    </xf>
    <xf numFmtId="0" fontId="9" fillId="0" borderId="36" xfId="0" applyFont="1" applyBorder="1" applyAlignment="1">
      <alignment vertical="top" wrapText="1"/>
    </xf>
    <xf numFmtId="0" fontId="0" fillId="0" borderId="24" xfId="0" quotePrefix="1" applyBorder="1" applyAlignment="1">
      <alignment vertical="top" wrapText="1"/>
    </xf>
    <xf numFmtId="1" fontId="0" fillId="0" borderId="0" xfId="0" applyNumberFormat="1"/>
    <xf numFmtId="0" fontId="0" fillId="3" borderId="10" xfId="0" applyFill="1" applyBorder="1" applyAlignment="1">
      <alignment vertical="center"/>
    </xf>
    <xf numFmtId="0" fontId="9" fillId="0" borderId="1" xfId="0" applyFont="1" applyBorder="1" applyAlignment="1">
      <alignment vertical="center" wrapText="1"/>
      <extLst>
        <ext xmlns:xfpb="http://schemas.microsoft.com/office/spreadsheetml/2022/featurepropertybag" uri="{C7286773-470A-42A8-94C5-96B5CB345126}">
          <xfpb:xfComplement i="0"/>
        </ext>
      </extLst>
    </xf>
    <xf numFmtId="0" fontId="0" fillId="0" borderId="1" xfId="0" quotePrefix="1" applyBorder="1" applyAlignment="1">
      <alignment vertical="center" wrapText="1"/>
    </xf>
    <xf numFmtId="0" fontId="13" fillId="0" borderId="1" xfId="0" applyFont="1" applyBorder="1" applyAlignment="1">
      <alignment vertical="center" wrapText="1"/>
      <extLst>
        <ext xmlns:xfpb="http://schemas.microsoft.com/office/spreadsheetml/2022/featurepropertybag" uri="{C7286773-470A-42A8-94C5-96B5CB345126}">
          <xfpb:xfComplement i="0"/>
        </ext>
      </extLst>
    </xf>
    <xf numFmtId="0" fontId="0" fillId="10" borderId="1" xfId="0" applyFill="1" applyBorder="1" applyAlignment="1">
      <alignment vertical="center"/>
    </xf>
    <xf numFmtId="0" fontId="13" fillId="0" borderId="3" xfId="0" applyFont="1" applyBorder="1" applyAlignment="1">
      <alignment vertical="center" wrapText="1"/>
      <extLst>
        <ext xmlns:xfpb="http://schemas.microsoft.com/office/spreadsheetml/2022/featurepropertybag" uri="{C7286773-470A-42A8-94C5-96B5CB345126}">
          <xfpb:xfComplement i="0"/>
        </ext>
      </extLst>
    </xf>
    <xf numFmtId="0" fontId="0" fillId="0" borderId="3" xfId="0" quotePrefix="1" applyBorder="1" applyAlignment="1">
      <alignment horizontal="center" vertical="center"/>
    </xf>
    <xf numFmtId="16" fontId="0" fillId="0" borderId="3" xfId="0" quotePrefix="1" applyNumberFormat="1" applyBorder="1" applyAlignment="1">
      <alignment horizontal="center" vertical="center"/>
    </xf>
    <xf numFmtId="0" fontId="0" fillId="10" borderId="8" xfId="0" applyFill="1" applyBorder="1" applyAlignment="1">
      <alignment vertical="center"/>
    </xf>
    <xf numFmtId="0" fontId="13" fillId="0" borderId="8" xfId="0" applyFont="1" applyBorder="1" applyAlignment="1">
      <alignment vertical="center" wrapText="1"/>
      <extLst>
        <ext xmlns:xfpb="http://schemas.microsoft.com/office/spreadsheetml/2022/featurepropertybag" uri="{C7286773-470A-42A8-94C5-96B5CB345126}">
          <xfpb:xfComplement i="0"/>
        </ext>
      </extLst>
    </xf>
    <xf numFmtId="0" fontId="9" fillId="0" borderId="8" xfId="0" applyFont="1" applyBorder="1" applyAlignment="1">
      <alignment vertical="center" wrapText="1"/>
    </xf>
    <xf numFmtId="0" fontId="13" fillId="0" borderId="7" xfId="0" applyFont="1" applyBorder="1" applyAlignment="1">
      <alignment vertical="center" wrapText="1"/>
      <extLst>
        <ext xmlns:xfpb="http://schemas.microsoft.com/office/spreadsheetml/2022/featurepropertybag" uri="{C7286773-470A-42A8-94C5-96B5CB345126}">
          <xfpb:xfComplement i="0"/>
        </ext>
      </extLst>
    </xf>
    <xf numFmtId="0" fontId="13" fillId="0" borderId="1" xfId="0" applyFont="1" applyBorder="1" applyAlignment="1">
      <alignment vertical="center" wrapText="1"/>
    </xf>
    <xf numFmtId="0" fontId="0" fillId="0" borderId="4" xfId="0" quotePrefix="1" applyBorder="1" applyAlignment="1">
      <alignment horizontal="center" vertical="center"/>
    </xf>
    <xf numFmtId="16" fontId="0" fillId="0" borderId="4" xfId="0" quotePrefix="1" applyNumberFormat="1" applyBorder="1" applyAlignment="1">
      <alignment horizontal="center" vertical="center"/>
    </xf>
    <xf numFmtId="0" fontId="13" fillId="9" borderId="1" xfId="0" applyFont="1" applyFill="1" applyBorder="1" applyAlignment="1">
      <alignment vertical="center" wrapText="1"/>
      <extLst>
        <ext xmlns:xfpb="http://schemas.microsoft.com/office/spreadsheetml/2022/featurepropertybag" uri="{C7286773-470A-42A8-94C5-96B5CB345126}">
          <xfpb:xfComplement i="0"/>
        </ext>
      </extLst>
    </xf>
    <xf numFmtId="16" fontId="0" fillId="9" borderId="8" xfId="0" quotePrefix="1" applyNumberFormat="1" applyFill="1" applyBorder="1" applyAlignment="1">
      <alignment horizontal="center" vertical="center"/>
    </xf>
    <xf numFmtId="0" fontId="0" fillId="9" borderId="8" xfId="0" quotePrefix="1" applyFill="1" applyBorder="1" applyAlignment="1">
      <alignment horizontal="center" vertical="center"/>
    </xf>
    <xf numFmtId="0" fontId="13" fillId="3" borderId="4" xfId="0" applyFont="1" applyFill="1" applyBorder="1" applyAlignment="1">
      <alignment vertical="center" wrapText="1"/>
      <extLst>
        <ext xmlns:xfpb="http://schemas.microsoft.com/office/spreadsheetml/2022/featurepropertybag" uri="{C7286773-470A-42A8-94C5-96B5CB345126}">
          <xfpb:xfComplement i="0"/>
        </ext>
      </extLst>
    </xf>
    <xf numFmtId="0" fontId="0" fillId="3" borderId="4" xfId="0" quotePrefix="1" applyFill="1" applyBorder="1" applyAlignment="1">
      <alignment horizontal="left" vertical="center"/>
    </xf>
    <xf numFmtId="0" fontId="13" fillId="3" borderId="1" xfId="0" applyFont="1" applyFill="1" applyBorder="1" applyAlignment="1">
      <alignment vertical="center" wrapText="1"/>
      <extLst>
        <ext xmlns:xfpb="http://schemas.microsoft.com/office/spreadsheetml/2022/featurepropertybag" uri="{C7286773-470A-42A8-94C5-96B5CB345126}">
          <xfpb:xfComplement i="0"/>
        </ext>
      </extLst>
    </xf>
    <xf numFmtId="0" fontId="0" fillId="10" borderId="8" xfId="0" applyFill="1" applyBorder="1" applyAlignment="1">
      <alignment horizontal="center" vertical="center"/>
    </xf>
    <xf numFmtId="0" fontId="15" fillId="10" borderId="8" xfId="0" applyFont="1" applyFill="1" applyBorder="1" applyAlignment="1">
      <alignment horizontal="left" vertical="top" wrapText="1"/>
    </xf>
    <xf numFmtId="0" fontId="15" fillId="10" borderId="8" xfId="0" applyFont="1" applyFill="1" applyBorder="1" applyAlignment="1">
      <alignment horizontal="left" vertical="center" wrapText="1"/>
    </xf>
    <xf numFmtId="0" fontId="15" fillId="10" borderId="8" xfId="0" applyFont="1" applyFill="1" applyBorder="1" applyAlignment="1">
      <alignment vertical="top" wrapText="1"/>
    </xf>
    <xf numFmtId="0" fontId="15" fillId="10" borderId="8" xfId="0" applyFont="1" applyFill="1" applyBorder="1" applyAlignment="1">
      <alignment vertical="center" wrapText="1"/>
    </xf>
    <xf numFmtId="0" fontId="15" fillId="10" borderId="8" xfId="0" applyFont="1" applyFill="1" applyBorder="1" applyAlignment="1">
      <alignment horizontal="center" vertical="center"/>
    </xf>
    <xf numFmtId="0" fontId="0" fillId="0" borderId="8" xfId="0" applyBorder="1" applyAlignment="1">
      <alignment horizontal="left" vertical="center" wrapText="1"/>
    </xf>
    <xf numFmtId="0" fontId="0" fillId="0" borderId="0" xfId="0" applyAlignment="1">
      <alignment horizontal="left" vertical="center"/>
    </xf>
    <xf numFmtId="0" fontId="0" fillId="0" borderId="17" xfId="0" applyBorder="1" applyAlignment="1">
      <alignment horizontal="left" vertical="center"/>
    </xf>
    <xf numFmtId="0" fontId="0" fillId="0" borderId="17" xfId="0" applyBorder="1" applyAlignment="1">
      <alignment horizontal="left" vertical="center" wrapText="1"/>
    </xf>
    <xf numFmtId="0" fontId="10" fillId="11" borderId="8" xfId="0" applyFont="1" applyFill="1" applyBorder="1" applyAlignment="1">
      <alignment horizontal="left" vertical="center" wrapText="1"/>
    </xf>
    <xf numFmtId="0" fontId="10" fillId="11" borderId="8" xfId="0" applyFont="1" applyFill="1" applyBorder="1" applyAlignment="1">
      <alignment horizontal="center" vertical="center" wrapText="1"/>
      <extLst>
        <ext xmlns:xfpb="http://schemas.microsoft.com/office/spreadsheetml/2022/featurepropertybag" uri="{C7286773-470A-42A8-94C5-96B5CB345126}">
          <xfpb:xfComplement i="0"/>
        </ext>
      </extLst>
    </xf>
    <xf numFmtId="16" fontId="10" fillId="11" borderId="8" xfId="0" quotePrefix="1" applyNumberFormat="1" applyFont="1" applyFill="1" applyBorder="1" applyAlignment="1">
      <alignment horizontal="center" vertical="center" wrapText="1"/>
    </xf>
    <xf numFmtId="0" fontId="0" fillId="0" borderId="8" xfId="0" quotePrefix="1" applyBorder="1" applyAlignment="1">
      <alignment vertical="center" wrapText="1"/>
    </xf>
    <xf numFmtId="0" fontId="0" fillId="0" borderId="8" xfId="0" quotePrefix="1" applyBorder="1" applyAlignment="1">
      <alignment vertical="top" wrapText="1"/>
    </xf>
    <xf numFmtId="0" fontId="10" fillId="11" borderId="8" xfId="0" applyFont="1" applyFill="1" applyBorder="1" applyAlignment="1">
      <alignment horizontal="center" vertical="center" wrapText="1"/>
    </xf>
    <xf numFmtId="0" fontId="7" fillId="11" borderId="8" xfId="1" applyFill="1" applyBorder="1" applyAlignment="1">
      <alignment horizontal="left" vertical="center" wrapText="1"/>
    </xf>
    <xf numFmtId="0" fontId="0" fillId="0" borderId="13" xfId="0" quotePrefix="1" applyBorder="1" applyAlignment="1">
      <alignment vertical="top" wrapText="1"/>
    </xf>
    <xf numFmtId="16" fontId="10" fillId="11" borderId="17" xfId="0" quotePrefix="1" applyNumberFormat="1" applyFont="1" applyFill="1" applyBorder="1" applyAlignment="1">
      <alignment horizontal="center" vertical="center"/>
    </xf>
    <xf numFmtId="0" fontId="0" fillId="0" borderId="21" xfId="0" applyBorder="1" applyAlignment="1">
      <alignment vertical="center"/>
    </xf>
    <xf numFmtId="0" fontId="0" fillId="0" borderId="8" xfId="0" applyBorder="1" applyAlignment="1">
      <alignment horizontal="left" vertical="top" wrapText="1"/>
    </xf>
    <xf numFmtId="0" fontId="10" fillId="11" borderId="16" xfId="0" applyFont="1" applyFill="1" applyBorder="1" applyAlignment="1">
      <alignment horizontal="center" vertical="center" wrapText="1"/>
    </xf>
    <xf numFmtId="0" fontId="10" fillId="11" borderId="17" xfId="0" applyFont="1" applyFill="1" applyBorder="1" applyAlignment="1">
      <alignment horizontal="center" vertical="center" wrapText="1"/>
    </xf>
    <xf numFmtId="0" fontId="0" fillId="0" borderId="17" xfId="0" applyBorder="1" applyAlignment="1">
      <alignment vertical="center"/>
    </xf>
    <xf numFmtId="0" fontId="7" fillId="11" borderId="12" xfId="1" applyFill="1" applyBorder="1" applyAlignment="1">
      <alignment horizontal="left" vertical="center"/>
    </xf>
    <xf numFmtId="0" fontId="10" fillId="11" borderId="20" xfId="0" applyFont="1" applyFill="1" applyBorder="1" applyAlignment="1">
      <alignment horizontal="left" vertical="center"/>
    </xf>
    <xf numFmtId="0" fontId="0" fillId="0" borderId="21" xfId="0" applyBorder="1" applyAlignment="1">
      <alignment vertical="center" wrapText="1"/>
    </xf>
    <xf numFmtId="16" fontId="10" fillId="11" borderId="20" xfId="0" quotePrefix="1" applyNumberFormat="1" applyFont="1" applyFill="1" applyBorder="1" applyAlignment="1">
      <alignment horizontal="center" vertical="center"/>
    </xf>
    <xf numFmtId="0" fontId="0" fillId="10" borderId="21" xfId="0" applyFill="1" applyBorder="1" applyAlignment="1">
      <alignment vertical="center"/>
    </xf>
    <xf numFmtId="0" fontId="0" fillId="10" borderId="8" xfId="0" applyFill="1" applyBorder="1" applyAlignment="1">
      <alignment horizontal="left" vertical="top" wrapText="1"/>
    </xf>
    <xf numFmtId="0" fontId="10" fillId="11" borderId="12" xfId="0" applyFont="1" applyFill="1" applyBorder="1" applyAlignment="1">
      <alignment horizontal="center" vertical="center" wrapText="1"/>
    </xf>
    <xf numFmtId="0" fontId="10" fillId="11" borderId="4" xfId="0" applyFont="1" applyFill="1" applyBorder="1" applyAlignment="1">
      <alignment horizontal="center" vertical="center" wrapText="1"/>
    </xf>
    <xf numFmtId="0" fontId="0" fillId="0" borderId="39" xfId="0" applyBorder="1" applyAlignment="1">
      <alignment horizontal="left" vertical="center"/>
    </xf>
    <xf numFmtId="0" fontId="7" fillId="11" borderId="7" xfId="1" applyFill="1" applyBorder="1" applyAlignment="1">
      <alignment horizontal="left" vertical="center"/>
    </xf>
    <xf numFmtId="0" fontId="10" fillId="11" borderId="26"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10" borderId="18" xfId="0" applyFill="1" applyBorder="1" applyAlignment="1">
      <alignment vertical="center"/>
    </xf>
    <xf numFmtId="16" fontId="10" fillId="11" borderId="8" xfId="0" quotePrefix="1" applyNumberFormat="1" applyFont="1" applyFill="1" applyBorder="1" applyAlignment="1">
      <alignment horizontal="center" vertical="center"/>
    </xf>
    <xf numFmtId="0" fontId="0" fillId="0" borderId="18" xfId="0" applyBorder="1" applyAlignment="1">
      <alignment vertical="center"/>
    </xf>
    <xf numFmtId="0" fontId="7" fillId="11" borderId="7" xfId="1" applyFill="1" applyBorder="1" applyAlignment="1">
      <alignment horizontal="left" vertical="center" wrapText="1"/>
    </xf>
    <xf numFmtId="0" fontId="0" fillId="0" borderId="40" xfId="0" applyBorder="1" applyAlignment="1">
      <alignment vertical="center" wrapText="1"/>
    </xf>
    <xf numFmtId="0" fontId="0" fillId="0" borderId="8" xfId="0" applyBorder="1" applyAlignment="1">
      <alignment horizontal="left" vertical="top"/>
    </xf>
    <xf numFmtId="0" fontId="10" fillId="11" borderId="7"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0" fillId="0" borderId="32" xfId="0" applyBorder="1" applyAlignment="1">
      <alignment horizontal="left" vertical="center"/>
    </xf>
    <xf numFmtId="0" fontId="10" fillId="11" borderId="7" xfId="0" applyFont="1" applyFill="1" applyBorder="1" applyAlignment="1">
      <alignment horizontal="left" vertical="center" wrapText="1"/>
    </xf>
    <xf numFmtId="0" fontId="0" fillId="0" borderId="41" xfId="0" applyBorder="1" applyAlignment="1">
      <alignment horizontal="left" vertical="top" wrapText="1"/>
    </xf>
    <xf numFmtId="0" fontId="10" fillId="11" borderId="3" xfId="0" applyFont="1" applyFill="1" applyBorder="1" applyAlignment="1">
      <alignment horizontal="center" vertical="center" wrapText="1"/>
    </xf>
    <xf numFmtId="0" fontId="0" fillId="0" borderId="42" xfId="0" applyBorder="1" applyAlignment="1">
      <alignment horizontal="left" vertical="top" wrapText="1"/>
    </xf>
    <xf numFmtId="0" fontId="0" fillId="0" borderId="43" xfId="0" applyBorder="1" applyAlignment="1">
      <alignment horizontal="left" vertical="center"/>
    </xf>
    <xf numFmtId="0" fontId="10" fillId="10" borderId="13" xfId="0" applyFont="1" applyFill="1" applyBorder="1" applyAlignment="1">
      <alignment horizontal="left" vertical="center"/>
    </xf>
    <xf numFmtId="0" fontId="10" fillId="10" borderId="27" xfId="0" applyFont="1" applyFill="1" applyBorder="1" applyAlignment="1">
      <alignment horizontal="center" vertical="center" wrapText="1"/>
      <extLst>
        <ext xmlns:xfpb="http://schemas.microsoft.com/office/spreadsheetml/2022/featurepropertybag" uri="{C7286773-470A-42A8-94C5-96B5CB345126}">
          <xfpb:xfComplement i="0"/>
        </ext>
      </extLst>
    </xf>
    <xf numFmtId="16" fontId="10" fillId="10" borderId="13" xfId="0" quotePrefix="1" applyNumberFormat="1" applyFont="1" applyFill="1" applyBorder="1" applyAlignment="1">
      <alignment horizontal="center" vertical="center"/>
    </xf>
    <xf numFmtId="0" fontId="0" fillId="10" borderId="13" xfId="0" applyFill="1" applyBorder="1" applyAlignment="1">
      <alignment vertical="center"/>
    </xf>
    <xf numFmtId="0" fontId="0" fillId="10" borderId="36" xfId="0" applyFill="1" applyBorder="1" applyAlignment="1">
      <alignment horizontal="left" vertical="center" wrapText="1"/>
    </xf>
    <xf numFmtId="0" fontId="10" fillId="10" borderId="2" xfId="0" applyFont="1" applyFill="1" applyBorder="1" applyAlignment="1">
      <alignment horizontal="center" vertical="center" wrapText="1"/>
    </xf>
    <xf numFmtId="0" fontId="10" fillId="10" borderId="11" xfId="0" applyFont="1" applyFill="1" applyBorder="1" applyAlignment="1">
      <alignment horizontal="center" vertical="center" wrapText="1"/>
    </xf>
    <xf numFmtId="0" fontId="0" fillId="10" borderId="15" xfId="0" applyFill="1" applyBorder="1" applyAlignment="1">
      <alignment horizontal="left" vertical="center"/>
    </xf>
    <xf numFmtId="0" fontId="7" fillId="10" borderId="38" xfId="1" applyFill="1" applyBorder="1" applyAlignment="1">
      <alignment horizontal="left" vertical="center" wrapText="1"/>
    </xf>
    <xf numFmtId="0" fontId="1" fillId="6" borderId="0" xfId="0" applyFont="1" applyFill="1" applyAlignment="1">
      <alignment horizontal="left" vertical="center"/>
    </xf>
    <xf numFmtId="0" fontId="0" fillId="6" borderId="0" xfId="0" applyFill="1" applyAlignment="1">
      <alignment horizontal="left" vertical="center"/>
    </xf>
    <xf numFmtId="0" fontId="1" fillId="0" borderId="8" xfId="0" applyFont="1" applyBorder="1" applyAlignment="1">
      <alignment horizontal="left" vertical="center"/>
    </xf>
    <xf numFmtId="0" fontId="1" fillId="0" borderId="8" xfId="0" applyFont="1" applyBorder="1" applyAlignment="1">
      <alignment horizontal="center" vertical="center"/>
    </xf>
    <xf numFmtId="0" fontId="1" fillId="0" borderId="13" xfId="0" applyFont="1" applyBorder="1" applyAlignment="1">
      <alignment horizontal="left" vertical="center"/>
    </xf>
    <xf numFmtId="0" fontId="1" fillId="0" borderId="13" xfId="0" applyFont="1" applyBorder="1" applyAlignment="1">
      <alignment horizontal="center" vertical="center"/>
    </xf>
    <xf numFmtId="0" fontId="1" fillId="6" borderId="8" xfId="0" applyFont="1" applyFill="1" applyBorder="1" applyAlignment="1">
      <alignment horizontal="left" vertical="center"/>
    </xf>
    <xf numFmtId="164" fontId="1" fillId="6" borderId="8" xfId="0" applyNumberFormat="1" applyFont="1" applyFill="1" applyBorder="1" applyAlignment="1">
      <alignment horizontal="center" vertical="center"/>
    </xf>
    <xf numFmtId="0" fontId="1" fillId="3" borderId="8" xfId="0" applyFont="1" applyFill="1" applyBorder="1" applyAlignment="1">
      <alignment wrapText="1"/>
    </xf>
    <xf numFmtId="0" fontId="1" fillId="7" borderId="13" xfId="0" applyFont="1" applyFill="1" applyBorder="1" applyAlignment="1">
      <alignment horizontal="left" vertical="center" wrapText="1"/>
    </xf>
    <xf numFmtId="0" fontId="1" fillId="7" borderId="8" xfId="0" applyFont="1" applyFill="1" applyBorder="1" applyAlignment="1">
      <alignment horizontal="center" vertical="center" wrapText="1"/>
    </xf>
    <xf numFmtId="0" fontId="0" fillId="0" borderId="17" xfId="0" applyBorder="1"/>
    <xf numFmtId="0" fontId="10" fillId="10" borderId="8" xfId="0" applyFont="1" applyFill="1" applyBorder="1" applyAlignment="1">
      <alignment horizontal="left" vertical="center" wrapText="1"/>
    </xf>
    <xf numFmtId="0" fontId="10" fillId="10" borderId="8"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0" fillId="10" borderId="8" xfId="0" quotePrefix="1" applyFont="1" applyFill="1" applyBorder="1" applyAlignment="1">
      <alignment horizontal="center" vertical="center" wrapText="1"/>
    </xf>
    <xf numFmtId="0" fontId="0" fillId="10" borderId="8" xfId="0" applyFill="1" applyBorder="1" applyAlignment="1">
      <alignment vertical="center" wrapText="1"/>
    </xf>
    <xf numFmtId="0" fontId="0" fillId="10" borderId="14" xfId="0" applyFill="1" applyBorder="1" applyAlignment="1">
      <alignment vertical="center" wrapText="1"/>
    </xf>
    <xf numFmtId="0" fontId="10" fillId="10" borderId="14" xfId="0" applyFont="1" applyFill="1" applyBorder="1" applyAlignment="1">
      <alignment horizontal="center" vertical="center" wrapText="1"/>
    </xf>
    <xf numFmtId="0" fontId="0" fillId="10" borderId="26" xfId="0" applyFill="1" applyBorder="1" applyAlignment="1">
      <alignment vertical="center"/>
    </xf>
    <xf numFmtId="0" fontId="7" fillId="10" borderId="8" xfId="1" applyFill="1" applyBorder="1" applyAlignment="1">
      <alignment horizontal="left" vertical="center" wrapText="1"/>
    </xf>
    <xf numFmtId="0" fontId="10" fillId="10" borderId="17" xfId="0" applyFont="1" applyFill="1" applyBorder="1" applyAlignment="1">
      <alignment horizontal="left" vertical="center" wrapText="1"/>
    </xf>
    <xf numFmtId="0" fontId="10" fillId="10" borderId="1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10" borderId="17" xfId="0" applyFill="1" applyBorder="1" applyAlignment="1">
      <alignment vertical="center" wrapText="1"/>
    </xf>
    <xf numFmtId="0" fontId="7" fillId="10" borderId="8" xfId="1" applyFill="1" applyBorder="1" applyAlignment="1">
      <alignment horizontal="center" vertical="center" wrapText="1"/>
    </xf>
    <xf numFmtId="0" fontId="10" fillId="10" borderId="8" xfId="0" applyFont="1" applyFill="1" applyBorder="1" applyAlignment="1">
      <alignment horizontal="left" vertical="center"/>
    </xf>
    <xf numFmtId="16" fontId="10" fillId="10" borderId="8" xfId="0" quotePrefix="1" applyNumberFormat="1" applyFont="1" applyFill="1" applyBorder="1" applyAlignment="1">
      <alignment horizontal="center" vertical="center"/>
    </xf>
    <xf numFmtId="0" fontId="0" fillId="10" borderId="12" xfId="0" applyFill="1" applyBorder="1" applyAlignment="1">
      <alignment vertical="center" wrapText="1"/>
    </xf>
    <xf numFmtId="0" fontId="10" fillId="10" borderId="4" xfId="0" applyFont="1" applyFill="1" applyBorder="1" applyAlignment="1">
      <alignment horizontal="center" vertical="center" wrapText="1"/>
    </xf>
    <xf numFmtId="0" fontId="0" fillId="10" borderId="39" xfId="0" applyFill="1" applyBorder="1" applyAlignment="1">
      <alignment vertical="center"/>
    </xf>
    <xf numFmtId="0" fontId="0" fillId="10" borderId="21" xfId="0" applyFill="1" applyBorder="1" applyAlignment="1">
      <alignment horizontal="left" vertical="center"/>
    </xf>
    <xf numFmtId="0" fontId="7" fillId="10" borderId="8" xfId="1" applyFill="1" applyBorder="1" applyAlignment="1">
      <alignment vertical="center"/>
    </xf>
    <xf numFmtId="0" fontId="10" fillId="10" borderId="8" xfId="0" applyFont="1" applyFill="1" applyBorder="1" applyAlignment="1">
      <alignment vertical="center"/>
      <extLst>
        <ext xmlns:xfpb="http://schemas.microsoft.com/office/spreadsheetml/2022/featurepropertybag" uri="{C7286773-470A-42A8-94C5-96B5CB345126}">
          <xfpb:xfComplement i="0"/>
        </ext>
      </extLst>
    </xf>
    <xf numFmtId="0" fontId="0" fillId="10" borderId="0" xfId="0" applyFill="1" applyAlignment="1">
      <alignment vertical="center" wrapText="1"/>
    </xf>
    <xf numFmtId="0" fontId="10" fillId="10" borderId="1" xfId="0" applyFont="1" applyFill="1" applyBorder="1" applyAlignment="1">
      <alignment horizontal="center" vertical="center" wrapText="1"/>
    </xf>
    <xf numFmtId="0" fontId="0" fillId="10" borderId="25" xfId="0" applyFill="1" applyBorder="1" applyAlignment="1">
      <alignment horizontal="left" vertical="center" wrapText="1"/>
    </xf>
    <xf numFmtId="0" fontId="0" fillId="10" borderId="32" xfId="0" applyFill="1" applyBorder="1" applyAlignment="1">
      <alignment vertical="center"/>
    </xf>
    <xf numFmtId="0" fontId="0" fillId="10" borderId="26" xfId="0" applyFill="1" applyBorder="1" applyAlignment="1">
      <alignment horizontal="left" vertical="center"/>
    </xf>
    <xf numFmtId="16" fontId="10" fillId="10" borderId="8" xfId="0" quotePrefix="1" applyNumberFormat="1" applyFont="1" applyFill="1" applyBorder="1" applyAlignment="1">
      <alignment horizontal="center" vertical="center" wrapText="1"/>
    </xf>
    <xf numFmtId="0" fontId="13" fillId="10" borderId="8" xfId="0" applyFont="1" applyFill="1" applyBorder="1" applyAlignment="1">
      <alignment vertical="center" wrapText="1"/>
    </xf>
    <xf numFmtId="0" fontId="0" fillId="10" borderId="8" xfId="0" applyFill="1" applyBorder="1" applyAlignment="1">
      <alignment horizontal="left" vertical="center"/>
    </xf>
    <xf numFmtId="0" fontId="7" fillId="10" borderId="12" xfId="1" applyFill="1" applyBorder="1" applyAlignment="1">
      <alignment horizontal="left" vertical="center" wrapText="1"/>
    </xf>
    <xf numFmtId="0" fontId="7" fillId="10" borderId="7" xfId="1" applyFill="1" applyBorder="1" applyAlignment="1">
      <alignment horizontal="left" vertical="center" wrapText="1"/>
    </xf>
    <xf numFmtId="0" fontId="10" fillId="10" borderId="8" xfId="0" applyFont="1" applyFill="1" applyBorder="1" applyAlignment="1">
      <alignment horizontal="center" vertical="center"/>
      <extLst>
        <ext xmlns:xfpb="http://schemas.microsoft.com/office/spreadsheetml/2022/featurepropertybag" uri="{C7286773-470A-42A8-94C5-96B5CB345126}">
          <xfpb:xfComplement i="0"/>
        </ext>
      </extLst>
    </xf>
    <xf numFmtId="0" fontId="0" fillId="10" borderId="25" xfId="0" applyFill="1" applyBorder="1" applyAlignment="1">
      <alignment horizontal="left" vertical="center"/>
    </xf>
    <xf numFmtId="0" fontId="1" fillId="0" borderId="8" xfId="0" applyFont="1" applyBorder="1" applyAlignment="1">
      <alignment vertical="center"/>
    </xf>
    <xf numFmtId="0" fontId="1" fillId="0" borderId="13" xfId="0" applyFont="1" applyBorder="1" applyAlignment="1">
      <alignment vertical="center"/>
    </xf>
    <xf numFmtId="0" fontId="1" fillId="6" borderId="8" xfId="0" applyFont="1" applyFill="1" applyBorder="1" applyAlignment="1">
      <alignment vertical="center"/>
    </xf>
    <xf numFmtId="0" fontId="0" fillId="6" borderId="1" xfId="0" quotePrefix="1" applyFill="1" applyBorder="1" applyAlignment="1">
      <alignment vertical="center" wrapText="1"/>
    </xf>
    <xf numFmtId="0" fontId="0" fillId="0" borderId="34" xfId="0" applyBorder="1" applyAlignment="1">
      <alignment horizontal="center" vertical="center"/>
    </xf>
    <xf numFmtId="0" fontId="0" fillId="0" borderId="8" xfId="0" applyBorder="1" applyAlignment="1">
      <alignment horizontal="left" vertical="center"/>
    </xf>
    <xf numFmtId="0" fontId="0" fillId="0" borderId="2" xfId="0" applyBorder="1" applyAlignment="1">
      <alignment vertical="center"/>
    </xf>
    <xf numFmtId="0" fontId="0" fillId="0" borderId="4" xfId="0" applyBorder="1" applyAlignment="1">
      <alignment vertical="center"/>
    </xf>
    <xf numFmtId="0" fontId="0" fillId="3" borderId="3" xfId="0" applyFill="1" applyBorder="1" applyAlignment="1">
      <alignment horizontal="left" vertical="center"/>
    </xf>
    <xf numFmtId="0" fontId="0" fillId="3" borderId="2" xfId="0" applyFill="1" applyBorder="1" applyAlignment="1">
      <alignment horizontal="left" vertical="center"/>
    </xf>
    <xf numFmtId="0" fontId="0" fillId="3" borderId="4" xfId="0" applyFill="1" applyBorder="1" applyAlignment="1">
      <alignment horizontal="left" vertical="center"/>
    </xf>
    <xf numFmtId="0" fontId="1" fillId="8" borderId="5" xfId="0" applyFont="1" applyFill="1" applyBorder="1" applyAlignment="1">
      <alignment horizontal="center" vertical="center"/>
    </xf>
    <xf numFmtId="0" fontId="1" fillId="8" borderId="6" xfId="0" applyFont="1" applyFill="1" applyBorder="1" applyAlignment="1">
      <alignment horizontal="center" vertical="center"/>
    </xf>
    <xf numFmtId="0" fontId="1" fillId="8" borderId="7" xfId="0" applyFont="1" applyFill="1" applyBorder="1" applyAlignment="1">
      <alignment horizontal="center" vertical="center"/>
    </xf>
    <xf numFmtId="0" fontId="0" fillId="0" borderId="1" xfId="0" applyBorder="1" applyAlignment="1">
      <alignment horizontal="left" vertical="center"/>
    </xf>
    <xf numFmtId="0" fontId="0" fillId="0" borderId="3" xfId="0" applyBorder="1" applyAlignment="1">
      <alignment horizontal="left" vertical="center"/>
    </xf>
    <xf numFmtId="0" fontId="0" fillId="0" borderId="13" xfId="0"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7" borderId="9" xfId="0" applyFont="1" applyFill="1" applyBorder="1" applyAlignment="1">
      <alignment horizontal="center" vertical="center"/>
    </xf>
    <xf numFmtId="0" fontId="1" fillId="7" borderId="37" xfId="0" applyFont="1" applyFill="1" applyBorder="1" applyAlignment="1">
      <alignment horizontal="center" vertical="center"/>
    </xf>
    <xf numFmtId="0" fontId="1" fillId="7" borderId="38" xfId="0" applyFont="1" applyFill="1" applyBorder="1" applyAlignment="1">
      <alignment horizontal="center" vertical="center"/>
    </xf>
    <xf numFmtId="0" fontId="10" fillId="11" borderId="13" xfId="0" applyFont="1" applyFill="1" applyBorder="1" applyAlignment="1">
      <alignment horizontal="left" vertical="center"/>
    </xf>
    <xf numFmtId="0" fontId="10" fillId="11" borderId="20" xfId="0" applyFont="1" applyFill="1" applyBorder="1" applyAlignment="1">
      <alignment horizontal="left" vertical="center"/>
    </xf>
    <xf numFmtId="0" fontId="10" fillId="11" borderId="17" xfId="0" applyFont="1" applyFill="1" applyBorder="1" applyAlignment="1">
      <alignment horizontal="left" vertical="center"/>
    </xf>
    <xf numFmtId="0" fontId="10" fillId="11" borderId="13" xfId="0" applyFont="1" applyFill="1" applyBorder="1" applyAlignment="1">
      <alignment vertical="center"/>
    </xf>
    <xf numFmtId="0" fontId="10" fillId="11" borderId="17" xfId="0" applyFont="1" applyFill="1" applyBorder="1" applyAlignment="1">
      <alignment vertical="center"/>
    </xf>
    <xf numFmtId="0" fontId="0" fillId="0" borderId="13" xfId="0" applyBorder="1" applyAlignment="1">
      <alignment horizontal="center" vertical="center"/>
      <extLst>
        <ext xmlns:xfpb="http://schemas.microsoft.com/office/spreadsheetml/2022/featurepropertybag" uri="{C7286773-470A-42A8-94C5-96B5CB345126}">
          <xfpb:xfComplement i="0"/>
        </ext>
      </extLst>
    </xf>
    <xf numFmtId="0" fontId="0" fillId="0" borderId="20" xfId="0" applyBorder="1" applyAlignment="1">
      <alignment horizontal="center" vertical="center"/>
      <extLst>
        <ext xmlns:xfpb="http://schemas.microsoft.com/office/spreadsheetml/2022/featurepropertybag" uri="{C7286773-470A-42A8-94C5-96B5CB345126}">
          <xfpb:xfComplement i="0"/>
        </ext>
      </extLst>
    </xf>
    <xf numFmtId="0" fontId="0" fillId="0" borderId="17" xfId="0" applyBorder="1" applyAlignment="1">
      <alignment horizontal="center" vertical="center"/>
      <extLst>
        <ext xmlns:xfpb="http://schemas.microsoft.com/office/spreadsheetml/2022/featurepropertybag" uri="{C7286773-470A-42A8-94C5-96B5CB345126}">
          <xfpb:xfComplement i="0"/>
        </ext>
      </extLst>
    </xf>
    <xf numFmtId="0" fontId="0" fillId="0" borderId="13" xfId="0" applyBorder="1" applyAlignment="1">
      <alignment horizontal="center" vertical="center" wrapText="1"/>
      <extLst>
        <ext xmlns:xfpb="http://schemas.microsoft.com/office/spreadsheetml/2022/featurepropertybag" uri="{C7286773-470A-42A8-94C5-96B5CB345126}">
          <xfpb:xfComplement i="0"/>
        </ext>
      </extLst>
    </xf>
    <xf numFmtId="0" fontId="0" fillId="0" borderId="20" xfId="0" applyBorder="1" applyAlignment="1">
      <alignment horizontal="center" vertical="center" wrapText="1"/>
      <extLst>
        <ext xmlns:xfpb="http://schemas.microsoft.com/office/spreadsheetml/2022/featurepropertybag" uri="{C7286773-470A-42A8-94C5-96B5CB345126}">
          <xfpb:xfComplement i="0"/>
        </ext>
      </extLst>
    </xf>
    <xf numFmtId="0" fontId="0" fillId="0" borderId="17" xfId="0" applyBorder="1" applyAlignment="1">
      <alignment horizontal="center" vertical="center" wrapText="1"/>
      <extLst>
        <ext xmlns:xfpb="http://schemas.microsoft.com/office/spreadsheetml/2022/featurepropertybag" uri="{C7286773-470A-42A8-94C5-96B5CB345126}">
          <xfpb:xfComplement i="0"/>
        </ext>
      </extLst>
    </xf>
    <xf numFmtId="0" fontId="0" fillId="0" borderId="8" xfId="0" applyBorder="1" applyAlignment="1">
      <alignment horizontal="center" vertical="center" wrapText="1"/>
      <extLst>
        <ext xmlns:xfpb="http://schemas.microsoft.com/office/spreadsheetml/2022/featurepropertybag" uri="{C7286773-470A-42A8-94C5-96B5CB345126}">
          <xfpb:xfComplement i="0"/>
        </ext>
      </extLst>
    </xf>
    <xf numFmtId="1" fontId="0" fillId="0" borderId="8" xfId="0" quotePrefix="1" applyNumberFormat="1" applyBorder="1" applyAlignment="1">
      <alignment horizontal="center" vertical="center"/>
    </xf>
    <xf numFmtId="0" fontId="0" fillId="0" borderId="13" xfId="0" applyBorder="1" applyAlignment="1">
      <alignment horizontal="center" vertical="center"/>
    </xf>
    <xf numFmtId="0" fontId="0" fillId="0" borderId="20" xfId="0" applyBorder="1" applyAlignment="1">
      <alignment horizontal="center" vertical="center"/>
    </xf>
    <xf numFmtId="0" fontId="0" fillId="0" borderId="13" xfId="0" applyBorder="1" applyAlignment="1">
      <alignment horizontal="left" vertical="center" wrapText="1"/>
    </xf>
    <xf numFmtId="0" fontId="0" fillId="0" borderId="20" xfId="0" applyBorder="1" applyAlignment="1">
      <alignment horizontal="left" vertical="center" wrapText="1"/>
    </xf>
    <xf numFmtId="0" fontId="0" fillId="0" borderId="31" xfId="0" quotePrefix="1" applyBorder="1" applyAlignment="1">
      <alignment horizontal="center" vertical="center" wrapText="1"/>
    </xf>
    <xf numFmtId="0" fontId="0" fillId="0" borderId="22" xfId="0" applyBorder="1" applyAlignment="1">
      <alignment horizontal="center" vertical="center" wrapText="1"/>
    </xf>
    <xf numFmtId="0" fontId="0" fillId="0" borderId="8" xfId="0" applyBorder="1" applyAlignment="1">
      <alignment horizontal="center" vertical="center"/>
    </xf>
    <xf numFmtId="0" fontId="0" fillId="10" borderId="14" xfId="0" applyFill="1" applyBorder="1" applyAlignment="1">
      <alignment horizontal="center" vertical="center"/>
    </xf>
    <xf numFmtId="0" fontId="3" fillId="4" borderId="8" xfId="0" applyFont="1" applyFill="1"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left" vertical="center"/>
    </xf>
    <xf numFmtId="0" fontId="0" fillId="0" borderId="17" xfId="0" applyBorder="1" applyAlignment="1">
      <alignment horizontal="left" vertical="center"/>
    </xf>
    <xf numFmtId="0" fontId="0" fillId="0" borderId="17" xfId="0" applyBorder="1" applyAlignment="1">
      <alignment horizontal="left" vertical="center" wrapText="1"/>
    </xf>
    <xf numFmtId="0" fontId="0" fillId="10" borderId="8" xfId="0" applyFill="1" applyBorder="1" applyAlignment="1">
      <alignment horizontal="center" vertical="center"/>
    </xf>
    <xf numFmtId="0" fontId="0" fillId="0" borderId="30" xfId="0" applyBorder="1" applyAlignment="1">
      <alignment horizontal="center" vertical="center" wrapText="1"/>
    </xf>
    <xf numFmtId="0" fontId="0" fillId="0" borderId="29" xfId="0" applyBorder="1" applyAlignment="1">
      <alignment horizontal="center" vertical="center" wrapText="1"/>
    </xf>
    <xf numFmtId="0" fontId="0" fillId="0" borderId="8" xfId="0" applyBorder="1" applyAlignment="1">
      <alignment horizontal="left" vertical="center" wrapText="1"/>
    </xf>
    <xf numFmtId="16" fontId="0" fillId="0" borderId="30" xfId="0" quotePrefix="1" applyNumberFormat="1" applyBorder="1" applyAlignment="1">
      <alignment horizontal="center" vertical="center" wrapText="1"/>
    </xf>
    <xf numFmtId="0" fontId="0" fillId="0" borderId="8" xfId="0" applyBorder="1" applyAlignment="1">
      <alignment horizontal="center" vertical="center" wrapText="1"/>
    </xf>
    <xf numFmtId="16" fontId="0" fillId="0" borderId="8" xfId="0" quotePrefix="1" applyNumberFormat="1" applyBorder="1" applyAlignment="1">
      <alignment horizontal="center" vertical="center"/>
    </xf>
    <xf numFmtId="0" fontId="0" fillId="0" borderId="8" xfId="0" quotePrefix="1" applyBorder="1" applyAlignment="1">
      <alignment horizontal="center" vertical="center"/>
    </xf>
    <xf numFmtId="0" fontId="10" fillId="10" borderId="8" xfId="0" applyFont="1" applyFill="1" applyBorder="1" applyAlignment="1">
      <alignment horizontal="left" vertical="center"/>
    </xf>
    <xf numFmtId="1" fontId="0" fillId="0" borderId="8" xfId="0" quotePrefix="1" applyNumberFormat="1" applyBorder="1" applyAlignment="1">
      <alignment horizontal="center" vertical="center" wrapText="1"/>
    </xf>
    <xf numFmtId="1" fontId="0" fillId="0" borderId="8" xfId="0" applyNumberFormat="1" applyBorder="1" applyAlignment="1">
      <alignment horizontal="center" vertical="center"/>
    </xf>
    <xf numFmtId="1" fontId="0" fillId="0" borderId="8" xfId="0" applyNumberFormat="1" applyBorder="1" applyAlignment="1">
      <alignment horizontal="center" vertical="center" wrapText="1"/>
    </xf>
    <xf numFmtId="0" fontId="0" fillId="0" borderId="27"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0" fillId="0" borderId="17" xfId="0" applyBorder="1" applyAlignment="1">
      <alignment horizontal="center" vertical="center" wrapText="1"/>
    </xf>
    <xf numFmtId="1" fontId="0" fillId="0" borderId="20" xfId="0" applyNumberFormat="1" applyBorder="1" applyAlignment="1">
      <alignment horizontal="center" vertical="center"/>
    </xf>
    <xf numFmtId="1" fontId="0" fillId="0" borderId="17" xfId="0" applyNumberFormat="1" applyBorder="1" applyAlignment="1">
      <alignment horizontal="center" vertical="center"/>
    </xf>
    <xf numFmtId="1" fontId="0" fillId="0" borderId="13" xfId="0" applyNumberFormat="1" applyBorder="1" applyAlignment="1">
      <alignment horizontal="center" vertical="center"/>
    </xf>
    <xf numFmtId="1" fontId="0" fillId="0" borderId="13" xfId="0" quotePrefix="1" applyNumberFormat="1" applyBorder="1" applyAlignment="1">
      <alignment horizontal="center" vertical="center" wrapText="1"/>
    </xf>
    <xf numFmtId="1" fontId="0" fillId="0" borderId="17" xfId="0" quotePrefix="1" applyNumberFormat="1" applyBorder="1" applyAlignment="1">
      <alignment horizontal="center" vertical="center" wrapText="1"/>
    </xf>
    <xf numFmtId="0" fontId="0" fillId="0" borderId="13" xfId="0" applyBorder="1" applyAlignment="1">
      <alignment horizontal="center" vertical="center" wrapText="1"/>
    </xf>
    <xf numFmtId="0" fontId="0" fillId="0" borderId="20" xfId="0" applyBorder="1" applyAlignment="1">
      <alignment horizontal="center" vertical="center" wrapText="1"/>
    </xf>
    <xf numFmtId="1" fontId="0" fillId="0" borderId="28" xfId="0" applyNumberFormat="1" applyBorder="1" applyAlignment="1">
      <alignment horizontal="center" vertical="center"/>
    </xf>
    <xf numFmtId="1" fontId="0" fillId="0" borderId="29" xfId="0" applyNumberFormat="1" applyBorder="1" applyAlignment="1">
      <alignment horizontal="center" vertical="center"/>
    </xf>
    <xf numFmtId="1" fontId="0" fillId="0" borderId="35" xfId="0" applyNumberForma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 Tran Viet" id="{8C58F435-7D9F-4974-A632-2DB5895619BE}" userId="S::antv6@fpt.com::9967e1e4-d607-473b-8a14-895139bffb3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9" dT="2026-04-15T10:24:54.32" personId="{8C58F435-7D9F-4974-A632-2DB5895619BE}" id="{58371439-DDFC-48D4-AC8E-77DE3880870A}">
    <text>TDD -&gt; Optional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fptsoftware362.sharepoint.com/:x:/r/sites/FSO.DataStorage.Pay/FSO.FSA/_layouts/15/Doc.aspx?sourcedoc=%7BED69E3B3-61EC-4095-975D-3E9D7A184711%7D&amp;file=AWS_Fast-Track_Framework_v1.0.xlsx&amp;action=default&amp;mobileredirect=true" TargetMode="External"/><Relationship Id="rId13" Type="http://schemas.openxmlformats.org/officeDocument/2006/relationships/hyperlink" Target="https://fptsoftware362.sharepoint.com/:x:/r/sites/FSO.DataStorage.Pay/FSO.FSA/_layouts/15/Doc.aspx?sourcedoc=%7BE3FB7522-1E85-4D77-916E-9C9CAB539AAF%7D&amp;file=Azure_Fast-Track_Framework_v1.0.xlsx&amp;action=default&amp;mobileredirect=true" TargetMode="External"/><Relationship Id="rId18"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Cloud_Azure_AI900_Fundamental_2025/Cloud_Azure_AI900_Fundamental_Syllabus_v1.0.xlsx?d=wdd8c59f877b64f20989fbfa89ab9e49a&amp;csf=1&amp;web=1&amp;e=OhNTNC" TargetMode="External"/><Relationship Id="rId3" Type="http://schemas.openxmlformats.org/officeDocument/2006/relationships/hyperlink" Target="https://fptsoftware362.sharepoint.com/:x:/r/sites/FSO.DataStorage.Pay/FSO.FSA/_layouts/15/Doc.aspx?sourcedoc=%7B371B53B5-CDA8-45EF-97E5-FFD0A672E0AF%7D&amp;file=Fast_Track_Framework_DevOps_Training_10h_Syllabus.xlsx&amp;action=default&amp;mobileredirect=true" TargetMode="External"/><Relationship Id="rId7" Type="http://schemas.openxmlformats.org/officeDocument/2006/relationships/hyperlink" Target="https://fptsoftware362.sharepoint.com/:x:/r/sites/FSO.DataStorage.Pay/FSO.FSA/_layouts/15/Doc.aspx?sourcedoc=%7BED69E3B3-61EC-4095-975D-3E9D7A184711%7D&amp;file=AWS_Fast-Track_Framework_v1.0.xlsx&amp;action=default&amp;mobileredirect=true" TargetMode="External"/><Relationship Id="rId12" Type="http://schemas.openxmlformats.org/officeDocument/2006/relationships/hyperlink" Target="https://fptsoftware362.sharepoint.com/:x:/r/sites/FSO.DataStorage.Pay/FSO.FSA/_layouts/15/Doc.aspx?sourcedoc=%7BED69E3B3-61EC-4095-975D-3E9D7A184711%7D&amp;file=AWS_Fast-Track_Framework_v1.0.xlsx&amp;action=default&amp;mobileredirect=true" TargetMode="External"/><Relationship Id="rId17" Type="http://schemas.openxmlformats.org/officeDocument/2006/relationships/hyperlink" Target="https://fptsoftware362.sharepoint.com/:x:/r/sites/FSO.DataStorage.Pay/FSO.FSA/_layouts/15/Doc.aspx?sourcedoc=%7BBBE8CBF4-C15A-426B-84EF-0F3A54D5323E%7D&amp;file=Fast_Track_Framework_AWS_AI_Practitioner_Syllabus.xlsx&amp;action=default&amp;mobileredirect=true" TargetMode="External"/><Relationship Id="rId2" Type="http://schemas.openxmlformats.org/officeDocument/2006/relationships/hyperlink" Target="https://fptsoftware362.sharepoint.com/:x:/r/sites/FSO.DataStorage.Pay/FSO.FSA/_layouts/15/Doc.aspx?sourcedoc=%7B371B53B5-CDA8-45EF-97E5-FFD0A672E0AF%7D&amp;file=Fast_Track_Framework_DevOps_Training_10h_Syllabus.xlsx&amp;action=default&amp;mobileredirect=true" TargetMode="External"/><Relationship Id="rId16" Type="http://schemas.openxmlformats.org/officeDocument/2006/relationships/hyperlink" Target="https://fptsoftware362.sharepoint.com/:x:/r/sites/FSO.DataStorage.Pay/FSO.FSA/_layouts/15/Doc.aspx?sourcedoc=%7BEED33349-B9ED-4068-9402-66D8BEA61AAD%7D&amp;file=Google_Cloud%20Digital%20Leader_Syllabus.xlsx&amp;action=default&amp;mobileredirect=true" TargetMode="External"/><Relationship Id="rId1" Type="http://schemas.openxmlformats.org/officeDocument/2006/relationships/hyperlink" Target="https://fptsoftware362.sharepoint.com/:x:/r/sites/FSO.DataStorage.Pay/FSO.FSA/_layouts/15/Doc.aspx?sourcedoc=%7B4CAF2856-6FE2-4D69-8527-C1A676787352%7D&amp;file=Fast_Track_Framework_Google_GenAI_Leader_Syllabus.xlsx&amp;action=default&amp;mobileredirect=true" TargetMode="External"/><Relationship Id="rId6" Type="http://schemas.openxmlformats.org/officeDocument/2006/relationships/hyperlink" Target="https://fptsoftware362.sharepoint.com/:x:/r/sites/FSO.DataStorage.Pay/FSO.FSA/_layouts/15/Doc.aspx?sourcedoc=%7BED69E3B3-61EC-4095-975D-3E9D7A184711%7D&amp;file=AWS_Fast-Track_Framework_v1.0.xlsx&amp;action=default&amp;mobileredirect=true" TargetMode="External"/><Relationship Id="rId11" Type="http://schemas.openxmlformats.org/officeDocument/2006/relationships/hyperlink" Target="https://fptsoftware362.sharepoint.com/:x:/r/sites/FSO.DataStorage.Pay/FSO.FSA/_layouts/15/Doc.aspx?sourcedoc=%7BED69E3B3-61EC-4095-975D-3E9D7A184711%7D&amp;file=AWS_Fast-Track_Framework_v1.0.xlsx&amp;action=default&amp;mobileredirect=true" TargetMode="External"/><Relationship Id="rId5" Type="http://schemas.openxmlformats.org/officeDocument/2006/relationships/hyperlink" Target="https://fptsoftware362.sharepoint.com/:x:/r/sites/FSO.DataStorage.Pay/FSO.FSA/_layouts/15/Doc.aspx?sourcedoc=%7BED69E3B3-61EC-4095-975D-3E9D7A184711%7D&amp;file=AWS_Fast-Track_Framework_v1.0.xlsx&amp;action=default&amp;mobileredirect=true" TargetMode="External"/><Relationship Id="rId15" Type="http://schemas.openxmlformats.org/officeDocument/2006/relationships/hyperlink" Target="https://fptsoftware362.sharepoint.com/:x:/r/sites/FSO.DataStorage.Pay/FSO.FSA/_layouts/15/Doc.aspx?sourcedoc=%7BE3FB7522-1E85-4D77-916E-9C9CAB539AAF%7D&amp;file=Azure_Fast-Track_Framework_v1.0.xlsx&amp;action=default&amp;mobileredirect=true" TargetMode="External"/><Relationship Id="rId10" Type="http://schemas.openxmlformats.org/officeDocument/2006/relationships/hyperlink" Target="https://fptsoftware362.sharepoint.com/:x:/r/sites/FSO.DataStorage.Pay/FSO.FSA/_layouts/15/Doc.aspx?sourcedoc=%7BED69E3B3-61EC-4095-975D-3E9D7A184711%7D&amp;file=AWS_Fast-Track_Framework_v1.0.xlsx&amp;action=default&amp;mobileredirect=true" TargetMode="External"/><Relationship Id="rId19"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Cloud_Azure_AI102_Associate_2025/Cloud_Azure_AI102_Associate_Syllabus_v1.1.xlsx?d=w61246abeac524ef0b4fb7bce54a52753&amp;csf=1&amp;web=1&amp;e=Xt3yFo" TargetMode="External"/><Relationship Id="rId4" Type="http://schemas.openxmlformats.org/officeDocument/2006/relationships/hyperlink" Target="https://fptsoftware362.sharepoint.com/:x:/r/sites/FSO.DataStorage.Pay/FSO.FSA/_layouts/15/Doc.aspx?sourcedoc=%7B371B53B5-CDA8-45EF-97E5-FFD0A672E0AF%7D&amp;file=Fast_Track_Framework_DevOps_Training_10h_Syllabus.xlsx&amp;action=default&amp;mobileredirect=true" TargetMode="External"/><Relationship Id="rId9" Type="http://schemas.openxmlformats.org/officeDocument/2006/relationships/hyperlink" Target="https://fptsoftware362.sharepoint.com/:x:/r/sites/FSO.DataStorage.Pay/FSO.FSA/_layouts/15/Doc.aspx?sourcedoc=%7BED69E3B3-61EC-4095-975D-3E9D7A184711%7D&amp;file=AWS_Fast-Track_Framework_v1.0.xlsx&amp;action=default&amp;mobileredirect=true" TargetMode="External"/><Relationship Id="rId14" Type="http://schemas.openxmlformats.org/officeDocument/2006/relationships/hyperlink" Target="https://fptsoftware362.sharepoint.com/:x:/r/sites/FSO.DataStorage.Pay/FSO.FSA/_layouts/15/Doc.aspx?sourcedoc=%7BE3FB7522-1E85-4D77-916E-9C9CAB539AAF%7D&amp;file=Azure_Fast-Track_Framework_v1.0.xlsx&amp;action=default&amp;mobileredirect=true"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fptsoftware362.sharepoint.com/:x:/r/sites/FSO.DataStorage.Pay/FSO.FSA/_layouts/15/Doc.aspx?sourcedoc=%7BED69E3B3-61EC-4095-975D-3E9D7A184711%7D&amp;file=AWS_Fast-Track_Framework_v1.0.xlsx&amp;action=default&amp;mobileredirect=true" TargetMode="External"/><Relationship Id="rId3" Type="http://schemas.openxmlformats.org/officeDocument/2006/relationships/hyperlink" Target="https://fptsoftware362.sharepoint.com/:x:/r/sites/FSO.DataStorage.Pay/FSO.FSA/_layouts/15/Doc.aspx?sourcedoc=%7B448C65B9-AFD1-4C8F-BE0C-977E9EEA603E%7D&amp;file=Google%20Professional%20Cloud%20Developer_PCD_Syllabus.xlsx&amp;action=default&amp;mobileredirect=true" TargetMode="External"/><Relationship Id="rId7" Type="http://schemas.openxmlformats.org/officeDocument/2006/relationships/hyperlink" Target="https://fptsoftware362.sharepoint.com/:x:/r/sites/FSO.DataStorage.Pay/FSO.FSA/_layouts/15/Doc.aspx?sourcedoc=%7B371B53B5-CDA8-45EF-97E5-FFD0A672E0AF%7D&amp;file=Fast_Track_Framework_DevOps_Training_10h_Syllabus.xlsx&amp;action=default&amp;mobileredirect=true" TargetMode="External"/><Relationship Id="rId2" Type="http://schemas.openxmlformats.org/officeDocument/2006/relationships/hyperlink" Target="https://fptsoftware362.sharepoint.com/:x:/r/sites/FSO.DataStorage.Pay/FSO.FSA/_layouts/15/Doc.aspx?sourcedoc=%7B731C0BE5-46F2-4EE2-9F73-20E153C6A657%7D&amp;file=Google%20Professional%20Cloud%20Architect_PCA_Syllabus.xlsx&amp;action=default&amp;mobileredirect=true" TargetMode="External"/><Relationship Id="rId1"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Cloud_Azure_AI102_Associate_2025/Cloud_Azure_AI102_Associate_Syllabus_v1.1.xlsx?d=w61246abeac524ef0b4fb7bce54a52753&amp;csf=1&amp;web=1&amp;e=Xt3yFo" TargetMode="External"/><Relationship Id="rId6" Type="http://schemas.openxmlformats.org/officeDocument/2006/relationships/hyperlink" Target="https://fptsoftware362.sharepoint.com/:x:/r/sites/FSO.DataStorage.Pay/FSO.FSA/_layouts/15/Doc.aspx?sourcedoc=%7B371B53B5-CDA8-45EF-97E5-FFD0A672E0AF%7D&amp;file=Fast_Track_Framework_DevOps_Training_10h_Syllabus.xlsx&amp;action=default&amp;mobileredirect=true" TargetMode="External"/><Relationship Id="rId5" Type="http://schemas.openxmlformats.org/officeDocument/2006/relationships/hyperlink" Target="https://fptsoftware362.sharepoint.com/:x:/r/sites/FSO.DataStorage.Pay/FSO.FSA/_layouts/15/Doc.aspx?sourcedoc=%7B371B53B5-CDA8-45EF-97E5-FFD0A672E0AF%7D&amp;file=Fast_Track_Framework_DevOps_Training_10h_Syllabus.xlsx&amp;action=default&amp;mobileredirect=true" TargetMode="External"/><Relationship Id="rId10" Type="http://schemas.openxmlformats.org/officeDocument/2006/relationships/hyperlink" Target="https://fptsoftware362.sharepoint.com/:x:/r/sites/FSO.DataStorage.Pay/FSO.FSA/_layouts/15/Doc.aspx?sourcedoc=%7BE3FB7522-1E85-4D77-916E-9C9CAB539AAF%7D&amp;file=Azure_Fast-Track_Framework_v1.0.xlsx&amp;action=default&amp;mobileredirect=true" TargetMode="External"/><Relationship Id="rId4" Type="http://schemas.openxmlformats.org/officeDocument/2006/relationships/hyperlink" Target="https://fptsoftware362.sharepoint.com/:x:/r/sites/FSO.DataStorage.Pay/FSO.FSA/_layouts/15/Doc.aspx?sourcedoc=%7B46FC318F-CCEE-47D4-B210-1464056B5467%7D&amp;file=Google%20Professional%20Cloud%20Devops%20Engineer_PCDE_Syllabus.xlsx&amp;action=default&amp;mobileredirect=true" TargetMode="External"/><Relationship Id="rId9" Type="http://schemas.openxmlformats.org/officeDocument/2006/relationships/hyperlink" Target="https://fptsoftware362.sharepoint.com/:x:/r/sites/FSO.DataStorage.Pay/FSO.FSA/_layouts/15/Doc.aspx?sourcedoc=%7BE3FB7522-1E85-4D77-916E-9C9CAB539AAF%7D&amp;file=Azure_Fast-Track_Framework_v1.0.xlsx&amp;action=default&amp;mobileredirect=true"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fptsoftware362.sharepoint.com/:x:/r/sites/FSO.DataStorage.Pay/FSO.FSA/_layouts/15/Doc.aspx?sourcedoc=%7BC61EE498-B262-4E60-8ABF-2BABB6D81E99%7D&amp;file=PSI_Intermediate%20Data%20Engineering%20-%20Building%20Data%20Pipelines%20and%20Analytics%20Systems_Class01_v1.1.xlsx&amp;action=default&amp;mobileredirect=true" TargetMode="External"/><Relationship Id="rId18" Type="http://schemas.openxmlformats.org/officeDocument/2006/relationships/hyperlink" Target="https://fptsoftware362.sharepoint.com/:x:/r/sites/FSO.DataStorage.Pay/FSO.FSA/Shared%20Documents/FSA/1.%20Learning%20Solutions%20(LS)/2.%20FSA%20CLS/CE/3.Training%20Program/5.Technology/Technical%20Upskilling%20Program/FSA.EC/EM.Cls_T_ER_JA%26A_DN25_02/1.Content%20Management/Authentication_and_Authorizatio_ASP.NET_Core__Syllabus_v0.3.xlsx?d=w322c47578a9e4f298e5c8e15d265111b&amp;csf=1&amp;web=1&amp;e=ioPxhD" TargetMode="External"/><Relationship Id="rId26" Type="http://schemas.openxmlformats.org/officeDocument/2006/relationships/hyperlink" Target="https://fptsoftware362.sharepoint.com/:x:/r/sites/FSO.DataStorage.Pay/FSO.FSA/Shared%20Documents/FSA/1.%20Learning%20Solutions%20(LS)/1.%20FSA%20NLS/3.%20Senior%20Training/2025/5.%20Technology%20and%20Platform/4.%20Upskilling/3.%20F1/8.%20EM.Cls_T_ER_KSB_HN25_01/1.%20Content%20Management/1.%20Syllabus/Kotlin_With_Spring_Boot_Training%20Topic%20Syllabus_v1.xlsx?d=w4fa63f67f91841018d1c647e256d0d1c&amp;csf=1&amp;web=1&amp;e=gdB4LG" TargetMode="External"/><Relationship Id="rId39" Type="http://schemas.openxmlformats.org/officeDocument/2006/relationships/hyperlink" Target="https://fptsoftware362.sharepoint.com/:x:/r/sites/FSO.DataStorage.Pay/FSO.FSA/Shared%20Documents/FSA/1.%20Learning%20Solutions%20(LS)/2.%20FSA%20CLS/CE/3.Training%20Program/5.Technology/Technical%20Upskilling%20Program/FSA.EC/EM.Cls_T_ER_WFsF_DN25_01/1.Content%20Management/Enrich%20Web%20FullStack%20Foundation%20Syllabus%20(MongoDB)%20-%207%20days.xlsx?d=w61a64e1c6e664565be3a4d006c873bdc&amp;csf=1&amp;web=1&amp;e=l9RBhY" TargetMode="External"/><Relationship Id="rId21" Type="http://schemas.openxmlformats.org/officeDocument/2006/relationships/hyperlink" Target="https://fptsoftware362.sharepoint.com/:x:/r/sites/FSO.DataStorage.Pay/FSO.FSA/Shared%20Documents/FSA/1.%20Learning%20Solutions%20(LS)/2.%20FSA%20CLS/CE/3.Training%20Program/5.Technology/Technical%20Upskilling%20Program/FSA.EC/EM.Cls_T_ER_JAVASFD_DN25_01/1.Content%20Management/syllabus.xls?d=w1a5d80e0315941a98a24ce4d59392c52&amp;csf=1&amp;web=1&amp;e=D2MeLG" TargetMode="External"/><Relationship Id="rId34" Type="http://schemas.openxmlformats.org/officeDocument/2006/relationships/hyperlink" Target="https://fptsoftware362.sharepoint.com/:x:/r/sites/FSO.DataStorage.Pay/FSO.FSA/Shared%20Documents/FSA/1.%20Learning%20Solutions%20(LS)/2.%20FSA%20CLS/CE/3.Training%20Program/5.Technology/Technical%20Upskilling%20Program/FSA/EM.Cls_T_ER_AZ104_DN25_02/1.Content%20Management/Cloud_Azure_AZ104_Associate_Syllabus_v2.2%20(1).xlsx?d=w860cbb959a2142ebb65392b1417c105b&amp;csf=1&amp;web=1&amp;e=o9hult" TargetMode="External"/><Relationship Id="rId42" Type="http://schemas.openxmlformats.org/officeDocument/2006/relationships/hyperlink" Target="https://fptsoftware362.sharepoint.com/:x:/r/sites/FSO.DataStorage.Pay/FSO.FSA/Shared%20Documents/FSA/1.%20Learning%20Solutions%20(LS)/2.%20FSA%20CLS/CE/3.Training%20Program/5.Technology/Technical%20Upskilling%20Program/FSA/EM.Cls_T_ER_SADF_DN25_01/1.%20Content%20Management/Software_Architecture%20Syllabus.xlsx?d=wf62b488c6a234ff59855a04a9a42dfc8&amp;csf=1&amp;web=1&amp;e=WlQ9zh" TargetMode="External"/><Relationship Id="rId7"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Azure%20Devops%20400_F1_2025/PSI_Intermediate%20Azure%20DevOps_Syllabus_v1.2.xlsx?d=wcfeaebf21efd4a63af1e94605ff0daea&amp;csf=1&amp;web=1&amp;e=5k6eOn" TargetMode="External"/><Relationship Id="rId2"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Net_Foundation_EC_2025_HCM/CSharp-ASP.NET_FWA.EC_Categories-Skills_Syllabus_TuanTN8%20adjustion.xlsx?d=w30d6f1a0606d44c4836f11837cbd2cd4&amp;csf=1&amp;web=1&amp;e=5c0lMr" TargetMode="External"/><Relationship Id="rId16" Type="http://schemas.openxmlformats.org/officeDocument/2006/relationships/hyperlink" Target="https://fptsoftware362.sharepoint.com/:x:/r/sites/FSO.DataStorage.Pay/FSO.FSA/Shared%20Documents/FSA/1.%20Learning%20Solutions%20(LS)/1.%20FSA%20NLS/3.%20Senior%20Training/2025/10.%20LMS%20Public%20course/1.%20EM.Cls_T_ER_NET-Micro_HN25_01/1.%20Content%20Management/1.%20Syllabus/NET%20Microservices%20Syllabus_v0.1%20(1).xlsx?d=w696ba063c7e545d094e1c47293842e5b&amp;csf=1&amp;web=1&amp;e=JQJ8Wt" TargetMode="External"/><Relationship Id="rId20" Type="http://schemas.openxmlformats.org/officeDocument/2006/relationships/hyperlink" Target="https://fptsoftware362.sharepoint.com/:x:/r/sites/FSO.DataStorage.Pay/FSO.FSA/Shared%20Documents/FSA/1.%20Learning%20Solutions%20(LS)/2.%20FSA%20CLS/CE/3.Training%20Program/5.Technology/Technical%20Upskilling%20Program/FSA/EM.Cls_T_ER_JSM_DN25_01/1.Content%20Management/DN25_Java_Spring_Micro_01_v1.0%20(1).xlsx?d=w7afa500fbcf1490295f222b9e7b6b9ad&amp;csf=1&amp;web=1&amp;e=vjKnf2" TargetMode="External"/><Relationship Id="rId29" Type="http://schemas.openxmlformats.org/officeDocument/2006/relationships/hyperlink" Target="https://fptsoftware362.sharepoint.com/:x:/r/sites/FSO.DataStorage.Pay/FSO.FSA/Shared%20Documents/FSA/1.%20Learning%20Solutions%20(LS)/2.%20FSA%20CLS/CE/3.Training%20Program/5.Technology/Technical%20Upskilling%20Program/FSA.EC/EM.Cls_T_ER_CNJS_DN25_01/1.Content%20Management/Complete_NodeJS_Enrich_Syllabus.xlsx?d=w3c7bf4320c984cf4a282531f4b574bc8&amp;csf=1&amp;web=1&amp;e=HVuHaa" TargetMode="External"/><Relationship Id="rId41" Type="http://schemas.openxmlformats.org/officeDocument/2006/relationships/hyperlink" Target="https://fptsoftware362.sharepoint.com/:x:/r/sites/FSO.DataStorage.Pay/FSO.FSA/Shared%20Documents/FSA/1.%20Learning%20Solutions%20(LS)/2.%20FSA%20CLS/CE/3.Training%20Program/5.Technology/Technical%20Upskilling%20Program/FSA/EM.Cls_T_ER_SADF_DN25_01/1.%20Content%20Management/Software_Architecture%20Syllabus.xlsx?d=wf62b488c6a234ff59855a04a9a42dfc8&amp;csf=1&amp;web=1&amp;e=E8SCtC" TargetMode="External"/><Relationship Id="rId1" Type="http://schemas.openxmlformats.org/officeDocument/2006/relationships/hyperlink" Target="https://fptsoftware362.sharepoint.com/:x:/r/sites/FSO.DataStorage.Pay/FSO.FSA/Shared%20Documents/FSA/1.%20Learning%20Solutions%20(LS)/9.%20LS%20Programs/UpSkill_Reskill%20Program%20for%20Delivery/2026/Training%20Materials/F1_Data%20Engineering_Intermediate%20for%20Dev/F1.PSI_DE_Intermediate_Syllabus_Fulltime.xlsx?d=wef457810b69e47f39f0de0d26013f70e&amp;csf=1&amp;web=1&amp;e=mHqge6" TargetMode="External"/><Relationship Id="rId6"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Azure%20Cloud%20Fundamentals%20%26%20Administration_F1_2025/F1.CSM_CICD_IaC_Cloud_Azure_Syllabus_v0.1%201%20(1).xlsx?d=wc880d39695144d68b5b0a9537827ebb8&amp;csf=1&amp;web=1&amp;e=HKOmrb" TargetMode="External"/><Relationship Id="rId11"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Cloud_Azure_AZ104_Associate_2025/AZ104_Syllabus_v2.3.xlsx?d=wc555ec62874f48999067e7b3f1c65b6b&amp;csf=1&amp;web=1&amp;e=gDWc2K" TargetMode="External"/><Relationship Id="rId24" Type="http://schemas.openxmlformats.org/officeDocument/2006/relationships/hyperlink" Target="https://fptsoftware362.sharepoint.com/:x:/r/sites/FSO.DataStorage.Pay/FSO.FSA/Shared%20Documents/FSA/1.%20Learning%20Solutions%20(LS)/2.%20FSA%20CLS/CE/3.Training%20Program/5.Technology/Technical%20Upskilling%20Program/F1/EM.Cls_T_ER_J4D_DN25_01/1.Content%20Management/Content/DN25_Java_Spring_Micro_01_forEC_v1.1.xlsx?d=w416a8f8597074f75b75bfef478cb1999&amp;csf=1&amp;web=1&amp;e=BNceVn" TargetMode="External"/><Relationship Id="rId32" Type="http://schemas.openxmlformats.org/officeDocument/2006/relationships/hyperlink" Target="https://fptsoftware362.sharepoint.com/:x:/r/sites/FSO.DataStorage.Pay/FSO.FSA/Shared%20Documents/FSA/7.%20FSA%20Training%20Content/1.%20Core%20Content/2.%20Senior%20Training/WIP/2.%20Cloud/3.%20Clouds%20-%20AWS,%20Azure%20-%20Syllabus/AWS_Syllabus_Solution_Architect_SAA_v0.7.xlsx?d=wae4c93703c724e86a6521ca1179614c5&amp;csf=1&amp;web=1&amp;e=hci8Lt" TargetMode="External"/><Relationship Id="rId37" Type="http://schemas.openxmlformats.org/officeDocument/2006/relationships/hyperlink" Target="https://fptsoftware362.sharepoint.com/:x:/r/sites/FSO.DataStorage.Pay/FSO.FSA/Shared%20Documents/FSA/1.%20Learning%20Solutions%20(LS)/1.%20FSA%20NLS/3.%20Senior%20Training/2025/5.%20Technology%20and%20Platform/4.%20Upskilling/10.%20SCM/2.%20EM.Cls_T_ER_FE-REACTJS_HN25_01/1.%20Content%20Management/1.%20Syllabus/ER_2025_SCM_Front-End%20ReactJS_Syllabus_2.0.xlsx?d=w318dcb6f31ba4ca58b15e9f02e6d601a&amp;csf=1&amp;web=1&amp;e=FZzSzU" TargetMode="External"/><Relationship Id="rId40" Type="http://schemas.openxmlformats.org/officeDocument/2006/relationships/hyperlink" Target="https://fptsoftware362.sharepoint.com/:x:/r/sites/FSO.DataStorage.Pay/FSO.FSA/Shared%20Documents/FSA/1.%20Learning%20Solutions%20(LS)/2.%20FSA%20CLS/CE/3.Training%20Program/5.Technology/Technical%20Upskilling%20Program/F1/EM.Cls_T_ER_DEVOPSF_DN25_01/1.%20Content%20Management/FSOFT_F1_G5_Devops_Syllabus_v0.7.xlsx?d=w065b05f9f3eb47aa8c4dc8599391c381&amp;csf=1&amp;web=1&amp;e=yFK7b0" TargetMode="External"/><Relationship Id="rId5"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Azure%20Cloud%20Fundamentals%20%26%20Administration_F1_2025/F1.CSM_Fundamentals_Administration_Cloud_Azure_Syllabus_v0.1%201%20(1).xlsx?d=wcc58b1b04f8d474d9c9c1b3b321403d9&amp;csf=1&amp;web=1&amp;e=Wmt7xP" TargetMode="External"/><Relationship Id="rId15" Type="http://schemas.openxmlformats.org/officeDocument/2006/relationships/hyperlink" Target="https://fptsoftware362.sharepoint.com/:x:/r/sites/FSO.DataStorage.Pay/FSO.FSA/Shared%20Documents/FSA/1.%20Learning%20Solutions%20(LS)/1.%20FSA%20NLS/3.%20Senior%20Training/2025/10.%20LMS%20Public%20course/6.%20EM.Cls_T_ER_DDD_HN25_01/1.%20Content%20Management/1.%20Syllabus/DDD%20.NET%20Syllabus_v0.1%202.xlsx?d=w8851af3e220e4d378f40fa842409800b&amp;csf=1&amp;web=1&amp;e=efvzcZ" TargetMode="External"/><Relationship Id="rId23" Type="http://schemas.openxmlformats.org/officeDocument/2006/relationships/hyperlink" Target="https://fptsoftware362.sharepoint.com/:x:/r/sites/FSO.DataStorage.Pay/FSO.FSA/Shared%20Documents/FSA/1.%20Learning%20Solutions%20(LS)/2.%20FSA%20CLS/CE/3.Training%20Program/5.Technology/Technical%20Upskilling%20Program/FSA/EM.Cls_T_ER_JSE%2001_DN25_01/1.Content%20Management/Sysllabus/Syllabus_JAVASE11_OCP_v1.0.xls?d=w5211f2624d7846dda8ec2b93de3ff8ec&amp;csf=1&amp;web=1&amp;e=NnBKVH" TargetMode="External"/><Relationship Id="rId28" Type="http://schemas.openxmlformats.org/officeDocument/2006/relationships/hyperlink" Target="https://fptsoftware362.sharepoint.com/:x:/r/sites/FSO.DataStorage.Pay/FSO.FSA/Shared%20Documents/FSA/1.%20Learning%20Solutions%20(LS)/1.%20FSA%20NLS/3.%20Senior%20Training/2025/10.%20LMS%20Public%20course/2.%20EM.Cls_T_ER_NodeJS-DEV_HN25_01/1.%20Content%20Management/1.%20Syllabus/NodeJS%20Developer%20-%20Syllabus%201.xlsx?d=w2d3885b78d81411a8bf362b3b6eee50b&amp;csf=1&amp;web=1&amp;e=1FlIRx" TargetMode="External"/><Relationship Id="rId36" Type="http://schemas.openxmlformats.org/officeDocument/2006/relationships/hyperlink" Target="https://fptsoftware362.sharepoint.com/:x:/r/sites/FSO.DataStorage.Pay/FSO.FSA/Shared%20Documents/FSA/1.%20Learning%20Solutions%20(LS)/1.%20FSA%20NLS/3.%20Senior%20Training/2025/5.%20Technology%20and%20Platform/4.%20Upskilling/1.%20FHN/7.%20EM.Cls_T_ER_ANGULAR_HN25_01/1.%20Content%20Management/1.%20Syllabus/Angular_Reskill_Syllabus_v1.0.xlsx?d=wd33bbe793c114886b5ec5eeef1edebde&amp;csf=1&amp;web=1&amp;e=bIxnNN" TargetMode="External"/><Relationship Id="rId10"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Cloud_Azure_AI900_Fundamental_2025/Cloud_Azure_AI900_Fundamental_Syllabus_v1.0.xlsx?d=wdd8c59f877b64f20989fbfa89ab9e49a&amp;csf=1&amp;web=1&amp;e=OhNTNC" TargetMode="External"/><Relationship Id="rId19" Type="http://schemas.openxmlformats.org/officeDocument/2006/relationships/hyperlink" Target="https://fptsoftware362.sharepoint.com/:x:/r/sites/FSO.DataStorage.Pay/FSO.FSA/Shared%20Documents/FSA/1.%20Learning%20Solutions%20(LS)/2.%20FSA%20CLS/CE/3.Training%20Program/5.Technology/Technical%20Upskilling%20Program/FSA.EC/EM.Cls_T_ER_JA%26A_DN25_01/1.%20Content%20Management/Syllabus_DN25_Java_Security_01_v1.0.xlsx?d=w152ec68a658e41878d7d760dd01a85d8&amp;csf=1&amp;web=1&amp;e=wLPdIM" TargetMode="External"/><Relationship Id="rId31" Type="http://schemas.openxmlformats.org/officeDocument/2006/relationships/hyperlink" Target="https://fptsoftware362.sharepoint.com/:x:/r/sites/FSO.DataStorage.Pay/FSO.FSA/Shared%20Documents/FSA/1.%20Learning%20Solutions%20(LS)/2.%20FSA%20CLS/CE/3.Training%20Program/5.Technology/Technical%20Upskilling%20Program/FSA/EM.Cls_T_ER_N%26R_DN25_01/1.Content%20Management/FSA_Enrich_ReactNode.xlsx?d=wceadf916ea594fca8e76913f70cd91b5&amp;csf=1&amp;web=1&amp;e=WaK7bO" TargetMode="External"/><Relationship Id="rId4"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AWS%20Cloud%20Fundamentals%20%26%20Administration_F1_2025/F1_CSM_Cloud_AWS_Syllabus_Sysops_v1.2.xlsx?d=we47937e57d6b4f39bdda9c93240b860b&amp;csf=1&amp;web=1&amp;e=j9Yn1z" TargetMode="External"/><Relationship Id="rId9"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Cloud_Azure_AI102_Associate_2025/Cloud_Azure_AI102_Associate_Syllabus_v1.1.xlsx?d=w61246abeac524ef0b4fb7bce54a52753&amp;csf=1&amp;web=1&amp;e=Xt3yFo" TargetMode="External"/><Relationship Id="rId14" Type="http://schemas.openxmlformats.org/officeDocument/2006/relationships/hyperlink" Target="https://fptsoftware362-my.sharepoint.com/:x:/r/personal/linhhd5_fpt_com/_layouts/15/Doc.aspx?sourcedoc=%7BF1DF0F86-533A-45D6-80FD-FF711687BDB1%7D&amp;file=WPF_UWP_Syllabus_Offline_v1.0.xlsx&amp;action=default&amp;mobileredirect=true" TargetMode="External"/><Relationship Id="rId22" Type="http://schemas.openxmlformats.org/officeDocument/2006/relationships/hyperlink" Target="https://fptsoftware362.sharepoint.com/:x:/r/sites/FSO.DataStorage.Pay/FSO.FSA/Shared%20Documents/FSA/1.%20Learning%20Solutions%20(LS)/3.%20FSA%20SLS/Continuous%20Education/2025/Training%20Programs/IT%20Technical/EM.Cls_T_ER_OCA_HCM25_01/Information/OCA_Java_Programmer_OCAJP_Syllabus1.xlsx?d=w1bb8011dc6f149d8bdeb757ac43c6700&amp;csf=1&amp;web=1&amp;e=eANaub" TargetMode="External"/><Relationship Id="rId27" Type="http://schemas.openxmlformats.org/officeDocument/2006/relationships/hyperlink" Target="https://fptsoftware362.sharepoint.com/:x:/r/sites/FSO.DataStorage.Pay/FSO.FSA/Shared%20Documents/FSA/1.%20Learning%20Solutions%20(LS)/1.%20FSA%20NLS/3.%20Senior%20Training/2025/10.%20LMS%20Public%20course/8.%20EM.Cls_T_ER_NNJS_HN25_01/1.%20Content%20Management/1.%20Syllabus/NodeJS%20with%20NestJS%20-%20Course%20Content.xlsx?d=wa4537a6676624d419e0e8be51ac8560f&amp;csf=1&amp;web=1&amp;e=j3K0AD" TargetMode="External"/><Relationship Id="rId30" Type="http://schemas.openxmlformats.org/officeDocument/2006/relationships/hyperlink" Target="https://fptsoftware362.sharepoint.com/:x:/r/sites/FSO.DataStorage.Pay/FSO.FSA/Shared%20Documents/FSA/1.%20Learning%20Solutions%20(LS)/1.%20FSA%20NLS/3.%20Senior%20Training/2025/5.%20Technology%20and%20Platform/4.%20Upskilling/11.%20EC/3.%20EM.Cls_T_ER_BNJS_HN25_01/1.%20Content%20Management/1.%20Syllabus/Backend%20NodeJS_Syllabus_Calendar_01.xlsx?d=w18e08373cc87467b8aa3f8bfe93f7a77&amp;csf=1&amp;web=1&amp;e=eAfoZQ" TargetMode="External"/><Relationship Id="rId35" Type="http://schemas.openxmlformats.org/officeDocument/2006/relationships/hyperlink" Target="https://fptsoftware362-my.sharepoint.com/:x:/r/personal/linhhd5_fpt_com/Documents/FSA.CLS/Guide%20Plan_Enrich%20Skill%20with%20FSU/Kubernetes%20Certification%20-%20CKAD/Syllabus/CKAD_Training.xlsx?d=wd82eea8450284459aedca965198d7495&amp;csf=1&amp;web=1&amp;e=4DddwG" TargetMode="External"/><Relationship Id="rId43" Type="http://schemas.openxmlformats.org/officeDocument/2006/relationships/hyperlink" Target="https://fptsoftware362.sharepoint.com/:x:/r/sites/FSO.DataStorage.Pay/FSO.FSA/Shared%20Documents/FSA/7.%20FSA%20Training%20Content/1.%20Core%20Content/2.%20Senior%20Training/WIP/1.%20Technical/02.%20FSU_Data_Engineering_Data_Analyst/Intermediate%20Data%20Engineering%20(GHC.DHM)/GHC_DE_Intermediate_Syllabus_v2.0.xlsx?d=w8670d596bbc44b02b54467680463f54b&amp;csf=1&amp;web=1&amp;e=HL3GxM" TargetMode="External"/><Relationship Id="rId8"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Cloud_AWS_Certified_SysOps_Administrator_Associate_2025/FSA_AWS_Certified_SysOps_Administrator_Associate_Syllabus_v0.2.xlsx?d=wfbd47ff1ed094b55b9eccf832a48d04e&amp;csf=1&amp;web=1&amp;e=jLLwWY" TargetMode="External"/><Relationship Id="rId3"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Advanced_GCP_GHC_2025/Google%20Professional%20Cloud%20Architect_PCA_Syllabus.1.0.1%20(1).xlsx?d=w2777591e3b0b4040880209fc9f21363b&amp;csf=1&amp;web=1&amp;e=ibRSlt" TargetMode="External"/><Relationship Id="rId12" Type="http://schemas.openxmlformats.org/officeDocument/2006/relationships/hyperlink" Target="https://fptsoftware362.sharepoint.com/:x:/r/sites/FSO.DataStorage.Pay/FSO.FSA/Shared%20Documents/FSA/1.%20Learning%20Solutions%20(LS)/9.%20LS%20Programs/UpSkill_Reskill%20Program%20for%20Delivery/2025/1.%20Senior%20Technical%20Training%20Materials/Github%20Copilot%20With%20Java%20Spring%20Boot_F1_2025/FSA_Syllabus_GitHub%20Copilot%20For%20Java%20Spring%20Boot_v1.1.xlsx?d=w53754edaebaf44279f6bf418f80e9a54&amp;csf=1&amp;web=1&amp;e=NRFo42" TargetMode="External"/><Relationship Id="rId17" Type="http://schemas.openxmlformats.org/officeDocument/2006/relationships/hyperlink" Target="https://fptsoftware362.sharepoint.com/:x:/r/sites/FSO.DataStorage.Pay/FSO.FSA/_layouts/15/Doc.aspx?sourcedoc=%7B69700CEC-AD9D-4ED1-B1DA-BFF53EA51101%7D&amp;file=Syllabus%20L%E1%BB%9Bp%20.NET%20_03.xlsx&amp;action=default&amp;mobileredirect=true" TargetMode="External"/><Relationship Id="rId25" Type="http://schemas.openxmlformats.org/officeDocument/2006/relationships/hyperlink" Target="https://fptsoftware362.sharepoint.com/:x:/r/sites/FSO.DataStorage.Pay/FSO.FSA/Shared%20Documents/FSA/1.%20Learning%20Solutions%20(LS)/1.%20FSA%20NLS/3.%20Senior%20Training/2025/5.%20Technology%20and%20Platform/4.%20Upskilling/3.%20F1/1.%20EM.Cls_T_ER_F1Z1_JIU_HN25_02/1.%20Content%20Management/1.%20Syllabus/F1_Z1_Java_Intermediate_Syllabus_v1.0%20(003)%20(1).xlsx?d=w410ce5e431de404ea011571b50142d04&amp;csf=1&amp;web=1&amp;e=6A0wwE" TargetMode="External"/><Relationship Id="rId33" Type="http://schemas.openxmlformats.org/officeDocument/2006/relationships/hyperlink" Target="https://fptsoftware362.sharepoint.com/:x:/r/sites/FSO.DataStorage.Pay/FSO.FSA/Shared%20Documents/FSA/0.%20General/8.%20Program%20FSA/Skill-First%20Program/Skill%20mapping%20from%20Training%20programs/2025%20Program/Batch2_P2%20sent%20070125/Azure%20Fundamentals%20(AZ-900)/AZ900_Syllabus_v1.4.xlsx?d=wdcfa39bf8d4e4c41ad9376146627402c&amp;csf=1&amp;web=1&amp;e=ovKi8b" TargetMode="External"/><Relationship Id="rId38" Type="http://schemas.openxmlformats.org/officeDocument/2006/relationships/hyperlink" Target="https://fptsoftware362.sharepoint.com/:x:/r/sites/FSO.DataStorage.Pay/FSO.FSA/Shared%20Documents/FSA/1.%20Learning%20Solutions%20(LS)/2.%20FSA%20CLS/CE/3.Training%20Program/5.Technology/Technical%20Upskilling%20Program/FSA/EM.Cls_T_ER_MFRN_DN25_01/1.Content%20Management/Micro-Frontend%20-%20ReactJS%20%26%20NextJS.xlsx?d=wc2bd425177b34429994bc3903dc0bc03&amp;csf=1&amp;web=1&amp;e=MVm4M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1088C-05FC-47A0-AFA6-120371B5EDB5}">
  <dimension ref="A1:O31"/>
  <sheetViews>
    <sheetView tabSelected="1" topLeftCell="A9" zoomScale="80" zoomScaleNormal="80" workbookViewId="0">
      <selection activeCell="D11" sqref="D11"/>
    </sheetView>
  </sheetViews>
  <sheetFormatPr defaultRowHeight="15" customHeight="1"/>
  <cols>
    <col min="1" max="1" width="3.5703125" customWidth="1"/>
    <col min="2" max="2" width="32" customWidth="1"/>
    <col min="3" max="3" width="31" customWidth="1"/>
    <col min="4" max="4" width="8.28515625" customWidth="1"/>
    <col min="5" max="6" width="12.140625" customWidth="1"/>
    <col min="7" max="7" width="10.28515625" customWidth="1"/>
    <col min="8" max="8" width="69.5703125" customWidth="1"/>
    <col min="9" max="9" width="8" customWidth="1"/>
    <col min="10" max="10" width="14.140625" customWidth="1"/>
    <col min="11" max="12" width="10.28515625" customWidth="1"/>
    <col min="13" max="13" width="76.85546875" customWidth="1"/>
  </cols>
  <sheetData>
    <row r="1" spans="1:15" ht="21.6" customHeight="1">
      <c r="A1" s="226" t="s">
        <v>0</v>
      </c>
      <c r="B1" s="241" t="s">
        <v>1</v>
      </c>
      <c r="C1" s="241" t="s">
        <v>2</v>
      </c>
      <c r="D1" s="243" t="s">
        <v>3</v>
      </c>
      <c r="E1" s="244"/>
      <c r="F1" s="244"/>
      <c r="G1" s="244"/>
      <c r="H1" s="245"/>
      <c r="I1" s="233" t="s">
        <v>4</v>
      </c>
      <c r="J1" s="234"/>
      <c r="K1" s="234"/>
      <c r="L1" s="234"/>
      <c r="M1" s="235"/>
    </row>
    <row r="2" spans="1:15" ht="32.25" customHeight="1">
      <c r="A2" s="226"/>
      <c r="B2" s="242"/>
      <c r="C2" s="242"/>
      <c r="D2" s="55" t="s">
        <v>5</v>
      </c>
      <c r="E2" s="55" t="s">
        <v>6</v>
      </c>
      <c r="F2" s="55" t="s">
        <v>7</v>
      </c>
      <c r="G2" s="55" t="s">
        <v>8</v>
      </c>
      <c r="H2" s="56" t="s">
        <v>9</v>
      </c>
      <c r="I2" s="57" t="s">
        <v>5</v>
      </c>
      <c r="J2" s="57" t="s">
        <v>6</v>
      </c>
      <c r="K2" s="57" t="s">
        <v>7</v>
      </c>
      <c r="L2" s="57" t="s">
        <v>8</v>
      </c>
      <c r="M2" s="58" t="s">
        <v>9</v>
      </c>
    </row>
    <row r="3" spans="1:15" ht="211.5" customHeight="1">
      <c r="B3" s="236" t="s">
        <v>10</v>
      </c>
      <c r="C3" s="1" t="s">
        <v>11</v>
      </c>
      <c r="D3" s="100" t="b">
        <v>0</v>
      </c>
      <c r="E3" s="7" t="s">
        <v>12</v>
      </c>
      <c r="F3" s="7" t="s">
        <v>13</v>
      </c>
      <c r="G3" s="1" t="s">
        <v>14</v>
      </c>
      <c r="H3" s="101" t="s">
        <v>15</v>
      </c>
      <c r="I3" s="100" t="b">
        <v>0</v>
      </c>
      <c r="J3" s="7" t="s">
        <v>12</v>
      </c>
      <c r="K3" s="7" t="s">
        <v>13</v>
      </c>
      <c r="L3" s="1" t="s">
        <v>14</v>
      </c>
      <c r="M3" s="101" t="s">
        <v>16</v>
      </c>
      <c r="O3" s="21"/>
    </row>
    <row r="4" spans="1:15" ht="93.75" customHeight="1">
      <c r="B4" s="236"/>
      <c r="C4" s="1" t="s">
        <v>17</v>
      </c>
      <c r="D4" s="100" t="b">
        <v>0</v>
      </c>
      <c r="E4" s="7" t="s">
        <v>12</v>
      </c>
      <c r="F4" s="7" t="s">
        <v>13</v>
      </c>
      <c r="G4" s="1" t="s">
        <v>14</v>
      </c>
      <c r="H4" s="101" t="s">
        <v>18</v>
      </c>
      <c r="I4" s="100" t="b">
        <v>0</v>
      </c>
      <c r="J4" s="7" t="s">
        <v>12</v>
      </c>
      <c r="K4" s="7" t="s">
        <v>13</v>
      </c>
      <c r="L4" s="1" t="s">
        <v>14</v>
      </c>
      <c r="M4" s="101" t="s">
        <v>19</v>
      </c>
    </row>
    <row r="5" spans="1:15" ht="201" customHeight="1">
      <c r="B5" s="236"/>
      <c r="C5" s="1" t="s">
        <v>20</v>
      </c>
      <c r="D5" s="100" t="b">
        <v>0</v>
      </c>
      <c r="E5" s="22" t="s">
        <v>12</v>
      </c>
      <c r="F5" s="7" t="s">
        <v>13</v>
      </c>
      <c r="G5" s="1" t="s">
        <v>14</v>
      </c>
      <c r="H5" s="225" t="s">
        <v>21</v>
      </c>
      <c r="I5" s="100" t="b">
        <v>0</v>
      </c>
      <c r="J5" s="22" t="s">
        <v>12</v>
      </c>
      <c r="K5" s="7" t="s">
        <v>13</v>
      </c>
      <c r="L5" s="1" t="s">
        <v>14</v>
      </c>
      <c r="M5" s="225" t="s">
        <v>22</v>
      </c>
    </row>
    <row r="6" spans="1:15" ht="33.75" customHeight="1">
      <c r="B6" s="237" t="s">
        <v>23</v>
      </c>
      <c r="C6" s="8" t="s">
        <v>24</v>
      </c>
      <c r="D6" s="8"/>
      <c r="E6" s="22" t="s">
        <v>25</v>
      </c>
      <c r="F6" s="7" t="s">
        <v>26</v>
      </c>
      <c r="G6" s="9" t="s">
        <v>14</v>
      </c>
      <c r="H6" s="1" t="s">
        <v>27</v>
      </c>
      <c r="I6" s="1"/>
      <c r="J6" s="22" t="s">
        <v>25</v>
      </c>
      <c r="K6" s="7" t="s">
        <v>26</v>
      </c>
      <c r="L6" s="9" t="s">
        <v>14</v>
      </c>
      <c r="M6" s="1" t="s">
        <v>27</v>
      </c>
    </row>
    <row r="7" spans="1:15" ht="33.75" customHeight="1">
      <c r="B7" s="239"/>
      <c r="C7" s="8" t="s">
        <v>28</v>
      </c>
      <c r="D7" s="8"/>
      <c r="E7" s="22" t="s">
        <v>25</v>
      </c>
      <c r="F7" s="7" t="s">
        <v>26</v>
      </c>
      <c r="G7" s="9" t="s">
        <v>29</v>
      </c>
      <c r="H7" s="1" t="s">
        <v>30</v>
      </c>
      <c r="I7" s="3"/>
      <c r="J7" s="14" t="s">
        <v>31</v>
      </c>
      <c r="K7" s="24"/>
      <c r="L7" s="9" t="s">
        <v>29</v>
      </c>
      <c r="M7" s="1" t="s">
        <v>30</v>
      </c>
    </row>
    <row r="8" spans="1:15" ht="33.75" customHeight="1">
      <c r="B8" s="240"/>
      <c r="C8" s="8" t="s">
        <v>32</v>
      </c>
      <c r="D8" s="8"/>
      <c r="E8" s="22" t="s">
        <v>25</v>
      </c>
      <c r="F8" s="7" t="s">
        <v>26</v>
      </c>
      <c r="G8" s="9" t="s">
        <v>29</v>
      </c>
      <c r="H8" s="1" t="s">
        <v>33</v>
      </c>
      <c r="I8" s="3"/>
      <c r="J8" s="14" t="s">
        <v>31</v>
      </c>
      <c r="K8" s="24"/>
      <c r="L8" s="9" t="s">
        <v>29</v>
      </c>
      <c r="M8" s="1" t="s">
        <v>33</v>
      </c>
    </row>
    <row r="9" spans="1:15" ht="174">
      <c r="B9" s="236" t="s">
        <v>34</v>
      </c>
      <c r="C9" s="103" t="s">
        <v>35</v>
      </c>
      <c r="D9" s="102" t="b">
        <v>0</v>
      </c>
      <c r="E9" s="22" t="s">
        <v>12</v>
      </c>
      <c r="F9" s="7" t="s">
        <v>13</v>
      </c>
      <c r="G9" s="1" t="s">
        <v>14</v>
      </c>
      <c r="H9" s="101" t="s">
        <v>36</v>
      </c>
      <c r="I9" s="102" t="b">
        <v>0</v>
      </c>
      <c r="J9" s="22" t="s">
        <v>12</v>
      </c>
      <c r="K9" s="7" t="s">
        <v>13</v>
      </c>
      <c r="L9" s="1" t="s">
        <v>14</v>
      </c>
      <c r="M9" s="101" t="s">
        <v>37</v>
      </c>
    </row>
    <row r="10" spans="1:15" ht="129.75" customHeight="1">
      <c r="B10" s="237"/>
      <c r="C10" s="69" t="s">
        <v>38</v>
      </c>
      <c r="D10" s="104" t="b">
        <v>0</v>
      </c>
      <c r="E10" s="105" t="s">
        <v>12</v>
      </c>
      <c r="F10" s="106" t="s">
        <v>13</v>
      </c>
      <c r="G10" s="4" t="s">
        <v>14</v>
      </c>
      <c r="H10" s="17" t="s">
        <v>39</v>
      </c>
      <c r="I10" s="102" t="b">
        <v>0</v>
      </c>
      <c r="J10" s="22" t="s">
        <v>12</v>
      </c>
      <c r="K10" s="7" t="s">
        <v>13</v>
      </c>
      <c r="L10" s="4" t="s">
        <v>14</v>
      </c>
      <c r="M10" s="2" t="s">
        <v>40</v>
      </c>
    </row>
    <row r="11" spans="1:15" ht="72.75">
      <c r="B11" s="227" t="s">
        <v>41</v>
      </c>
      <c r="C11" s="107" t="s">
        <v>42</v>
      </c>
      <c r="D11" s="108" t="b">
        <v>0</v>
      </c>
      <c r="E11" s="89" t="s">
        <v>12</v>
      </c>
      <c r="F11" s="88" t="s">
        <v>13</v>
      </c>
      <c r="G11" s="15" t="s">
        <v>14</v>
      </c>
      <c r="H11" s="109" t="s">
        <v>43</v>
      </c>
      <c r="I11" s="110" t="b">
        <v>0</v>
      </c>
      <c r="J11" s="22" t="s">
        <v>12</v>
      </c>
      <c r="K11" s="7" t="s">
        <v>13</v>
      </c>
      <c r="L11" s="15" t="s">
        <v>14</v>
      </c>
      <c r="M11" s="111" t="s">
        <v>44</v>
      </c>
    </row>
    <row r="12" spans="1:15" ht="43.5">
      <c r="B12" s="227"/>
      <c r="C12" s="15" t="s">
        <v>45</v>
      </c>
      <c r="D12" s="108" t="b">
        <v>0</v>
      </c>
      <c r="E12" s="89" t="s">
        <v>12</v>
      </c>
      <c r="F12" s="88" t="s">
        <v>13</v>
      </c>
      <c r="G12" s="15" t="s">
        <v>29</v>
      </c>
      <c r="H12" s="15" t="s">
        <v>46</v>
      </c>
      <c r="I12" s="110" t="b">
        <v>0</v>
      </c>
      <c r="J12" s="22" t="s">
        <v>12</v>
      </c>
      <c r="K12" s="7" t="s">
        <v>13</v>
      </c>
      <c r="L12" s="15" t="s">
        <v>29</v>
      </c>
      <c r="M12" s="2" t="s">
        <v>47</v>
      </c>
    </row>
    <row r="13" spans="1:15">
      <c r="B13" s="227"/>
      <c r="C13" s="15" t="s">
        <v>48</v>
      </c>
      <c r="D13" s="108" t="b">
        <v>0</v>
      </c>
      <c r="E13" s="22" t="s">
        <v>12</v>
      </c>
      <c r="F13" s="7" t="s">
        <v>13</v>
      </c>
      <c r="G13" s="15" t="s">
        <v>49</v>
      </c>
      <c r="H13" s="15" t="s">
        <v>50</v>
      </c>
      <c r="I13" s="110" t="b">
        <v>0</v>
      </c>
      <c r="J13" s="112" t="s">
        <v>25</v>
      </c>
      <c r="K13" s="106" t="s">
        <v>13</v>
      </c>
      <c r="L13" s="19" t="s">
        <v>29</v>
      </c>
      <c r="M13" s="4" t="s">
        <v>51</v>
      </c>
    </row>
    <row r="14" spans="1:15">
      <c r="B14" s="238"/>
      <c r="C14" s="15" t="s">
        <v>52</v>
      </c>
      <c r="D14" s="108" t="b">
        <v>0</v>
      </c>
      <c r="E14" s="22" t="s">
        <v>12</v>
      </c>
      <c r="F14" s="7" t="s">
        <v>13</v>
      </c>
      <c r="G14" s="15" t="s">
        <v>49</v>
      </c>
      <c r="H14" s="19" t="s">
        <v>53</v>
      </c>
      <c r="I14" s="110" t="b">
        <v>0</v>
      </c>
      <c r="J14" s="112" t="s">
        <v>25</v>
      </c>
      <c r="K14" s="88" t="s">
        <v>13</v>
      </c>
      <c r="L14" s="15" t="s">
        <v>29</v>
      </c>
      <c r="M14" s="16" t="s">
        <v>54</v>
      </c>
    </row>
    <row r="15" spans="1:15">
      <c r="B15" s="228" t="s">
        <v>55</v>
      </c>
      <c r="C15" s="227" t="s">
        <v>56</v>
      </c>
      <c r="D15" s="108" t="b">
        <v>0</v>
      </c>
      <c r="E15" s="22" t="s">
        <v>12</v>
      </c>
      <c r="F15" s="7" t="s">
        <v>13</v>
      </c>
      <c r="G15" s="15" t="s">
        <v>49</v>
      </c>
      <c r="H15" s="3" t="s">
        <v>57</v>
      </c>
      <c r="I15" s="110" t="b">
        <v>0</v>
      </c>
      <c r="J15" s="112" t="s">
        <v>25</v>
      </c>
      <c r="K15" s="88" t="s">
        <v>13</v>
      </c>
      <c r="L15" s="15" t="s">
        <v>29</v>
      </c>
      <c r="M15" s="15" t="s">
        <v>58</v>
      </c>
    </row>
    <row r="16" spans="1:15">
      <c r="B16" s="228"/>
      <c r="C16" s="227"/>
      <c r="D16" s="108" t="b">
        <v>0</v>
      </c>
      <c r="E16" s="22" t="s">
        <v>25</v>
      </c>
      <c r="F16" s="7" t="s">
        <v>26</v>
      </c>
      <c r="G16" s="15" t="s">
        <v>49</v>
      </c>
      <c r="H16" s="1" t="s">
        <v>59</v>
      </c>
      <c r="I16" s="110" t="b">
        <v>0</v>
      </c>
      <c r="J16" s="112" t="s">
        <v>25</v>
      </c>
      <c r="K16" s="113" t="s">
        <v>26</v>
      </c>
      <c r="L16" s="18" t="s">
        <v>29</v>
      </c>
      <c r="M16" s="3" t="s">
        <v>59</v>
      </c>
    </row>
    <row r="17" spans="2:13">
      <c r="B17" s="228"/>
      <c r="C17" s="227" t="s">
        <v>60</v>
      </c>
      <c r="D17" s="108" t="b">
        <v>0</v>
      </c>
      <c r="E17" s="22" t="s">
        <v>12</v>
      </c>
      <c r="F17" s="7" t="s">
        <v>13</v>
      </c>
      <c r="G17" s="15" t="s">
        <v>49</v>
      </c>
      <c r="H17" s="1" t="s">
        <v>61</v>
      </c>
      <c r="I17" s="110" t="b">
        <v>0</v>
      </c>
      <c r="J17" s="112" t="s">
        <v>25</v>
      </c>
      <c r="K17" s="7" t="s">
        <v>13</v>
      </c>
      <c r="L17" s="9" t="s">
        <v>29</v>
      </c>
      <c r="M17" s="1" t="s">
        <v>62</v>
      </c>
    </row>
    <row r="18" spans="2:13">
      <c r="B18" s="228"/>
      <c r="C18" s="227"/>
      <c r="D18" s="108" t="b">
        <v>0</v>
      </c>
      <c r="E18" s="22" t="s">
        <v>12</v>
      </c>
      <c r="F18" s="7" t="s">
        <v>13</v>
      </c>
      <c r="G18" s="15" t="s">
        <v>49</v>
      </c>
      <c r="H18" s="1" t="s">
        <v>62</v>
      </c>
      <c r="I18" s="110" t="b">
        <v>0</v>
      </c>
      <c r="J18" s="112" t="s">
        <v>25</v>
      </c>
      <c r="K18" s="7" t="s">
        <v>13</v>
      </c>
      <c r="L18" s="9" t="s">
        <v>29</v>
      </c>
      <c r="M18" s="1" t="s">
        <v>63</v>
      </c>
    </row>
    <row r="19" spans="2:13">
      <c r="B19" s="228"/>
      <c r="C19" s="227" t="s">
        <v>64</v>
      </c>
      <c r="D19" s="108" t="b">
        <v>0</v>
      </c>
      <c r="E19" s="22" t="s">
        <v>12</v>
      </c>
      <c r="F19" s="7" t="s">
        <v>13</v>
      </c>
      <c r="G19" s="15" t="s">
        <v>49</v>
      </c>
      <c r="H19" s="1" t="s">
        <v>65</v>
      </c>
      <c r="I19" s="110" t="b">
        <v>0</v>
      </c>
      <c r="J19" s="22" t="s">
        <v>25</v>
      </c>
      <c r="K19" s="7" t="s">
        <v>26</v>
      </c>
      <c r="L19" s="9" t="s">
        <v>29</v>
      </c>
      <c r="M19" s="1" t="s">
        <v>66</v>
      </c>
    </row>
    <row r="20" spans="2:13">
      <c r="B20" s="229"/>
      <c r="C20" s="227"/>
      <c r="D20" s="108" t="b">
        <v>0</v>
      </c>
      <c r="E20" s="22" t="s">
        <v>25</v>
      </c>
      <c r="F20" s="7" t="s">
        <v>26</v>
      </c>
      <c r="G20" s="15" t="s">
        <v>49</v>
      </c>
      <c r="H20" s="1" t="s">
        <v>67</v>
      </c>
      <c r="I20" s="110" t="b">
        <v>0</v>
      </c>
      <c r="J20" s="22" t="s">
        <v>25</v>
      </c>
      <c r="K20" s="7" t="s">
        <v>26</v>
      </c>
      <c r="L20" s="9" t="s">
        <v>29</v>
      </c>
      <c r="M20" s="1" t="s">
        <v>67</v>
      </c>
    </row>
    <row r="21" spans="2:13">
      <c r="B21" s="230" t="s">
        <v>68</v>
      </c>
      <c r="C21" s="99"/>
      <c r="D21" s="117" t="b">
        <v>0</v>
      </c>
      <c r="E21" s="23" t="s">
        <v>69</v>
      </c>
      <c r="F21" s="25" t="s">
        <v>13</v>
      </c>
      <c r="G21" s="118" t="s">
        <v>49</v>
      </c>
      <c r="H21" s="20" t="s">
        <v>70</v>
      </c>
      <c r="I21" s="119" t="b">
        <v>0</v>
      </c>
      <c r="J21" s="23" t="s">
        <v>69</v>
      </c>
      <c r="K21" s="25" t="s">
        <v>13</v>
      </c>
      <c r="L21" s="20" t="s">
        <v>29</v>
      </c>
      <c r="M21" s="20" t="s">
        <v>70</v>
      </c>
    </row>
    <row r="22" spans="2:13">
      <c r="B22" s="231"/>
      <c r="C22" s="70"/>
      <c r="D22" s="119" t="b">
        <v>0</v>
      </c>
      <c r="E22" s="23" t="s">
        <v>69</v>
      </c>
      <c r="F22" s="25" t="s">
        <v>13</v>
      </c>
      <c r="G22" s="118" t="s">
        <v>49</v>
      </c>
      <c r="H22" s="20" t="s">
        <v>70</v>
      </c>
      <c r="I22" s="119" t="b">
        <v>0</v>
      </c>
      <c r="J22" s="23" t="s">
        <v>69</v>
      </c>
      <c r="K22" s="25" t="s">
        <v>13</v>
      </c>
      <c r="L22" s="20" t="s">
        <v>29</v>
      </c>
      <c r="M22" s="20" t="s">
        <v>70</v>
      </c>
    </row>
    <row r="23" spans="2:13">
      <c r="B23" s="232"/>
      <c r="C23" s="70"/>
      <c r="D23" s="119" t="b">
        <v>0</v>
      </c>
      <c r="E23" s="23" t="s">
        <v>69</v>
      </c>
      <c r="F23" s="25" t="s">
        <v>13</v>
      </c>
      <c r="G23" s="118" t="s">
        <v>49</v>
      </c>
      <c r="H23" s="20" t="s">
        <v>70</v>
      </c>
      <c r="I23" s="119" t="b">
        <v>0</v>
      </c>
      <c r="J23" s="23" t="s">
        <v>69</v>
      </c>
      <c r="K23" s="25" t="s">
        <v>13</v>
      </c>
      <c r="L23" s="20" t="s">
        <v>29</v>
      </c>
      <c r="M23" s="20" t="s">
        <v>70</v>
      </c>
    </row>
    <row r="24" spans="2:13" ht="24" customHeight="1">
      <c r="B24" s="67" t="s">
        <v>71</v>
      </c>
      <c r="C24" s="67" t="s">
        <v>72</v>
      </c>
      <c r="D24" s="114" t="b">
        <v>0</v>
      </c>
      <c r="E24" s="115" t="s">
        <v>25</v>
      </c>
      <c r="F24" s="116" t="s">
        <v>26</v>
      </c>
      <c r="G24" s="67" t="s">
        <v>73</v>
      </c>
      <c r="H24" s="67" t="s">
        <v>72</v>
      </c>
      <c r="I24" s="114" t="b">
        <v>0</v>
      </c>
      <c r="J24" s="115" t="s">
        <v>25</v>
      </c>
      <c r="K24" s="116" t="s">
        <v>26</v>
      </c>
      <c r="L24" s="67" t="s">
        <v>73</v>
      </c>
      <c r="M24" s="67" t="s">
        <v>72</v>
      </c>
    </row>
    <row r="25" spans="2:13"/>
    <row r="26" spans="2:13"/>
    <row r="27" spans="2:13"/>
    <row r="28" spans="2:13"/>
    <row r="29" spans="2:13"/>
    <row r="30" spans="2:13"/>
    <row r="31" spans="2:13"/>
  </sheetData>
  <autoFilter ref="E2:M2" xr:uid="{5341088C-05FC-47A0-AFA6-120371B5EDB5}"/>
  <mergeCells count="14">
    <mergeCell ref="A1:A2"/>
    <mergeCell ref="C19:C20"/>
    <mergeCell ref="B15:B20"/>
    <mergeCell ref="B21:B23"/>
    <mergeCell ref="I1:M1"/>
    <mergeCell ref="B9:B10"/>
    <mergeCell ref="B11:B14"/>
    <mergeCell ref="B3:B5"/>
    <mergeCell ref="B6:B8"/>
    <mergeCell ref="C1:C2"/>
    <mergeCell ref="B1:B2"/>
    <mergeCell ref="C15:C16"/>
    <mergeCell ref="C17:C18"/>
    <mergeCell ref="D1:H1"/>
  </mergeCells>
  <dataValidations count="2">
    <dataValidation type="list" allowBlank="1" showInputMessage="1" showErrorMessage="1" sqref="G3:G12 L3:L23" xr:uid="{7FFD11F4-17FA-4E70-B96C-D386FA423551}">
      <formula1>"Mandatory, Option"</formula1>
    </dataValidation>
    <dataValidation type="list" allowBlank="1" showInputMessage="1" showErrorMessage="1" sqref="G13:G23" xr:uid="{36EE867C-AE1E-4B5B-B62C-AE56C88EA226}">
      <formula1>"Mandatory, Optional"</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F139F-6BE1-4228-A841-A51C25623465}">
  <dimension ref="A1:K98"/>
  <sheetViews>
    <sheetView workbookViewId="0">
      <pane ySplit="2" topLeftCell="A91" activePane="bottomLeft" state="frozen"/>
      <selection pane="bottomLeft" activeCell="C98" sqref="C98"/>
    </sheetView>
  </sheetViews>
  <sheetFormatPr defaultRowHeight="15" customHeight="1"/>
  <cols>
    <col min="1" max="1" width="7.7109375" customWidth="1"/>
    <col min="2" max="2" width="31" style="127" customWidth="1"/>
    <col min="3" max="3" width="12.42578125" style="68" customWidth="1"/>
    <col min="4" max="4" width="7.7109375" customWidth="1"/>
    <col min="5" max="5" width="52.5703125" customWidth="1"/>
    <col min="6" max="6" width="54.28515625" customWidth="1"/>
    <col min="7" max="7" width="13.28515625" style="68" customWidth="1"/>
    <col min="8" max="8" width="10.85546875" customWidth="1"/>
    <col min="9" max="9" width="15.140625" bestFit="1" customWidth="1"/>
    <col min="10" max="10" width="12.85546875" customWidth="1"/>
    <col min="11" max="11" width="40" customWidth="1"/>
  </cols>
  <sheetData>
    <row r="1" spans="1:11"/>
    <row r="2" spans="1:11" ht="36.75" customHeight="1">
      <c r="A2" s="267" t="s">
        <v>74</v>
      </c>
      <c r="B2" s="267"/>
      <c r="C2" s="55" t="s">
        <v>5</v>
      </c>
      <c r="D2" s="10" t="s">
        <v>75</v>
      </c>
      <c r="E2" s="10" t="s">
        <v>76</v>
      </c>
      <c r="F2" s="10" t="s">
        <v>77</v>
      </c>
      <c r="G2" s="11" t="s">
        <v>78</v>
      </c>
      <c r="H2" s="11" t="s">
        <v>79</v>
      </c>
      <c r="I2" s="11" t="s">
        <v>80</v>
      </c>
      <c r="J2" s="11" t="s">
        <v>81</v>
      </c>
      <c r="K2" s="11" t="s">
        <v>82</v>
      </c>
    </row>
    <row r="3" spans="1:11" ht="29.25">
      <c r="A3" s="259">
        <v>1</v>
      </c>
      <c r="B3" s="238" t="s">
        <v>11</v>
      </c>
      <c r="C3" s="251" t="b">
        <v>1</v>
      </c>
      <c r="D3" s="272">
        <v>1</v>
      </c>
      <c r="E3" s="121" t="s">
        <v>83</v>
      </c>
      <c r="F3" s="122" t="s">
        <v>84</v>
      </c>
      <c r="G3" s="125" t="s">
        <v>85</v>
      </c>
      <c r="H3" s="82">
        <v>1</v>
      </c>
      <c r="I3" s="64"/>
      <c r="J3" s="62"/>
      <c r="K3" s="62"/>
    </row>
    <row r="4" spans="1:11">
      <c r="A4" s="260"/>
      <c r="B4" s="269"/>
      <c r="C4" s="252"/>
      <c r="D4" s="272"/>
      <c r="E4" s="123" t="s">
        <v>86</v>
      </c>
      <c r="F4" s="124"/>
      <c r="G4" s="125" t="s">
        <v>87</v>
      </c>
      <c r="H4" s="82"/>
      <c r="I4" s="64"/>
      <c r="J4" s="62"/>
      <c r="K4" s="62"/>
    </row>
    <row r="5" spans="1:11" ht="29.25">
      <c r="A5" s="260"/>
      <c r="B5" s="269"/>
      <c r="C5" s="252"/>
      <c r="D5" s="272">
        <v>2</v>
      </c>
      <c r="E5" s="121" t="s">
        <v>88</v>
      </c>
      <c r="F5" s="122" t="s">
        <v>89</v>
      </c>
      <c r="G5" s="125" t="s">
        <v>85</v>
      </c>
      <c r="H5" s="82">
        <v>1.5</v>
      </c>
      <c r="I5" s="64"/>
      <c r="J5" s="62"/>
      <c r="K5" s="62"/>
    </row>
    <row r="6" spans="1:11">
      <c r="A6" s="260"/>
      <c r="B6" s="269"/>
      <c r="C6" s="252"/>
      <c r="D6" s="272"/>
      <c r="E6" s="123" t="s">
        <v>86</v>
      </c>
      <c r="F6" s="124"/>
      <c r="G6" s="125" t="s">
        <v>87</v>
      </c>
      <c r="H6" s="82"/>
      <c r="I6" s="64"/>
      <c r="J6" s="62"/>
      <c r="K6" s="62"/>
    </row>
    <row r="7" spans="1:11" ht="43.5">
      <c r="A7" s="260"/>
      <c r="B7" s="269"/>
      <c r="C7" s="252"/>
      <c r="D7" s="272">
        <v>3</v>
      </c>
      <c r="E7" s="121" t="s">
        <v>90</v>
      </c>
      <c r="F7" s="122" t="s">
        <v>91</v>
      </c>
      <c r="G7" s="125" t="s">
        <v>85</v>
      </c>
      <c r="H7" s="82">
        <v>1.5</v>
      </c>
      <c r="I7" s="64"/>
      <c r="J7" s="62"/>
      <c r="K7" s="62"/>
    </row>
    <row r="8" spans="1:11">
      <c r="A8" s="260"/>
      <c r="B8" s="269"/>
      <c r="C8" s="252"/>
      <c r="D8" s="272"/>
      <c r="E8" s="123" t="s">
        <v>86</v>
      </c>
      <c r="F8" s="124"/>
      <c r="G8" s="125" t="s">
        <v>87</v>
      </c>
      <c r="H8" s="82"/>
      <c r="I8" s="64"/>
      <c r="J8" s="62"/>
      <c r="K8" s="62"/>
    </row>
    <row r="9" spans="1:11" ht="29.25">
      <c r="A9" s="260"/>
      <c r="B9" s="269"/>
      <c r="C9" s="252"/>
      <c r="D9" s="272">
        <v>4</v>
      </c>
      <c r="E9" s="121" t="s">
        <v>92</v>
      </c>
      <c r="F9" s="122" t="s">
        <v>93</v>
      </c>
      <c r="G9" s="125" t="s">
        <v>85</v>
      </c>
      <c r="H9" s="82">
        <v>1.5</v>
      </c>
      <c r="I9" s="64"/>
      <c r="J9" s="62"/>
      <c r="K9" s="62"/>
    </row>
    <row r="10" spans="1:11">
      <c r="A10" s="260"/>
      <c r="B10" s="269"/>
      <c r="C10" s="252"/>
      <c r="D10" s="272"/>
      <c r="E10" s="123" t="s">
        <v>86</v>
      </c>
      <c r="F10" s="124"/>
      <c r="G10" s="125" t="s">
        <v>87</v>
      </c>
      <c r="H10" s="82"/>
      <c r="I10" s="64"/>
      <c r="J10" s="62"/>
      <c r="K10" s="62"/>
    </row>
    <row r="11" spans="1:11" ht="29.25">
      <c r="A11" s="260"/>
      <c r="B11" s="269"/>
      <c r="C11" s="252"/>
      <c r="D11" s="272">
        <v>5</v>
      </c>
      <c r="E11" s="121" t="s">
        <v>94</v>
      </c>
      <c r="F11" s="122" t="s">
        <v>95</v>
      </c>
      <c r="G11" s="125" t="s">
        <v>85</v>
      </c>
      <c r="H11" s="82">
        <v>1.5</v>
      </c>
      <c r="I11" s="64"/>
      <c r="J11" s="62"/>
      <c r="K11" s="62"/>
    </row>
    <row r="12" spans="1:11">
      <c r="A12" s="260"/>
      <c r="B12" s="269"/>
      <c r="C12" s="252"/>
      <c r="D12" s="272"/>
      <c r="E12" s="123" t="s">
        <v>86</v>
      </c>
      <c r="F12" s="124"/>
      <c r="G12" s="125" t="s">
        <v>87</v>
      </c>
      <c r="H12" s="82"/>
      <c r="I12" s="64"/>
      <c r="J12" s="62"/>
      <c r="K12" s="62"/>
    </row>
    <row r="13" spans="1:11" ht="29.25">
      <c r="A13" s="260"/>
      <c r="B13" s="269"/>
      <c r="C13" s="252"/>
      <c r="D13" s="272">
        <v>6</v>
      </c>
      <c r="E13" s="121" t="s">
        <v>96</v>
      </c>
      <c r="F13" s="122" t="s">
        <v>97</v>
      </c>
      <c r="G13" s="125" t="s">
        <v>85</v>
      </c>
      <c r="H13" s="82">
        <v>1.5</v>
      </c>
      <c r="I13" s="64"/>
      <c r="J13" s="62"/>
      <c r="K13" s="62"/>
    </row>
    <row r="14" spans="1:11">
      <c r="A14" s="260"/>
      <c r="B14" s="269"/>
      <c r="C14" s="252"/>
      <c r="D14" s="272"/>
      <c r="E14" s="123" t="s">
        <v>86</v>
      </c>
      <c r="F14" s="124"/>
      <c r="G14" s="125" t="s">
        <v>87</v>
      </c>
      <c r="H14" s="82"/>
      <c r="I14" s="64"/>
      <c r="J14" s="62"/>
      <c r="K14" s="62"/>
    </row>
    <row r="15" spans="1:11" ht="43.5">
      <c r="A15" s="260"/>
      <c r="B15" s="269"/>
      <c r="C15" s="252"/>
      <c r="D15" s="272">
        <v>7</v>
      </c>
      <c r="E15" s="121" t="s">
        <v>98</v>
      </c>
      <c r="F15" s="122" t="s">
        <v>99</v>
      </c>
      <c r="G15" s="125" t="s">
        <v>85</v>
      </c>
      <c r="H15" s="82">
        <v>1.5</v>
      </c>
      <c r="I15" s="64"/>
      <c r="J15" s="85"/>
      <c r="K15" s="85"/>
    </row>
    <row r="16" spans="1:11">
      <c r="A16" s="268"/>
      <c r="B16" s="270"/>
      <c r="C16" s="253"/>
      <c r="D16" s="272"/>
      <c r="E16" s="123" t="s">
        <v>86</v>
      </c>
      <c r="F16" s="124"/>
      <c r="G16" s="125" t="s">
        <v>87</v>
      </c>
      <c r="H16" s="82"/>
      <c r="I16" s="82"/>
      <c r="J16" s="62"/>
      <c r="K16" s="62"/>
    </row>
    <row r="17" spans="1:11" ht="43.5">
      <c r="A17" s="259">
        <v>2</v>
      </c>
      <c r="B17" s="261" t="s">
        <v>100</v>
      </c>
      <c r="C17" s="254" t="b">
        <v>1</v>
      </c>
      <c r="D17" s="266">
        <v>1</v>
      </c>
      <c r="E17" s="121" t="s">
        <v>101</v>
      </c>
      <c r="F17" s="122" t="s">
        <v>102</v>
      </c>
      <c r="G17" s="125" t="s">
        <v>85</v>
      </c>
      <c r="H17" s="82">
        <v>1.5</v>
      </c>
      <c r="I17" s="82"/>
      <c r="J17" s="62"/>
      <c r="K17" s="62"/>
    </row>
    <row r="18" spans="1:11">
      <c r="A18" s="260"/>
      <c r="B18" s="262"/>
      <c r="C18" s="255"/>
      <c r="D18" s="266"/>
      <c r="E18" s="123" t="s">
        <v>86</v>
      </c>
      <c r="F18" s="124"/>
      <c r="G18" s="125" t="s">
        <v>87</v>
      </c>
      <c r="H18" s="82"/>
      <c r="I18" s="64"/>
      <c r="J18" s="86"/>
      <c r="K18" s="86"/>
    </row>
    <row r="19" spans="1:11" ht="29.25">
      <c r="A19" s="260"/>
      <c r="B19" s="262"/>
      <c r="C19" s="255"/>
      <c r="D19" s="266">
        <v>2</v>
      </c>
      <c r="E19" s="121" t="s">
        <v>103</v>
      </c>
      <c r="F19" s="122" t="s">
        <v>104</v>
      </c>
      <c r="G19" s="125" t="s">
        <v>85</v>
      </c>
      <c r="H19" s="82">
        <v>1</v>
      </c>
      <c r="I19" s="64"/>
      <c r="J19" s="60"/>
      <c r="K19" s="60"/>
    </row>
    <row r="20" spans="1:11">
      <c r="A20" s="260"/>
      <c r="B20" s="262"/>
      <c r="C20" s="255"/>
      <c r="D20" s="266"/>
      <c r="E20" s="123" t="s">
        <v>86</v>
      </c>
      <c r="F20" s="124"/>
      <c r="G20" s="125" t="s">
        <v>87</v>
      </c>
      <c r="H20" s="82"/>
      <c r="I20" s="64"/>
      <c r="J20" s="60"/>
      <c r="K20" s="60"/>
    </row>
    <row r="21" spans="1:11" ht="29.25">
      <c r="A21" s="260"/>
      <c r="B21" s="262"/>
      <c r="C21" s="255"/>
      <c r="D21" s="266">
        <v>3</v>
      </c>
      <c r="E21" s="121" t="s">
        <v>105</v>
      </c>
      <c r="F21" s="122" t="s">
        <v>106</v>
      </c>
      <c r="G21" s="125" t="s">
        <v>85</v>
      </c>
      <c r="H21" s="82">
        <v>1.5</v>
      </c>
      <c r="I21" s="64"/>
      <c r="J21" s="60"/>
      <c r="K21" s="60"/>
    </row>
    <row r="22" spans="1:11">
      <c r="A22" s="260"/>
      <c r="B22" s="262"/>
      <c r="C22" s="255"/>
      <c r="D22" s="266"/>
      <c r="E22" s="123" t="s">
        <v>86</v>
      </c>
      <c r="F22" s="124"/>
      <c r="G22" s="125" t="s">
        <v>87</v>
      </c>
      <c r="H22" s="82"/>
      <c r="I22" s="64"/>
      <c r="J22" s="60"/>
      <c r="K22" s="60"/>
    </row>
    <row r="23" spans="1:11" ht="29.25">
      <c r="A23" s="260"/>
      <c r="B23" s="262"/>
      <c r="C23" s="255"/>
      <c r="D23" s="266">
        <v>4</v>
      </c>
      <c r="E23" s="121" t="s">
        <v>107</v>
      </c>
      <c r="F23" s="122" t="s">
        <v>108</v>
      </c>
      <c r="G23" s="125" t="s">
        <v>85</v>
      </c>
      <c r="H23" s="82">
        <v>1.5</v>
      </c>
      <c r="I23" s="64"/>
      <c r="J23" s="60"/>
      <c r="K23" s="60"/>
    </row>
    <row r="24" spans="1:11">
      <c r="A24" s="260"/>
      <c r="B24" s="262"/>
      <c r="C24" s="255"/>
      <c r="D24" s="266"/>
      <c r="E24" s="123" t="s">
        <v>86</v>
      </c>
      <c r="F24" s="124"/>
      <c r="G24" s="125" t="s">
        <v>87</v>
      </c>
      <c r="H24" s="82"/>
      <c r="I24" s="64"/>
      <c r="J24" s="60"/>
      <c r="K24" s="60"/>
    </row>
    <row r="25" spans="1:11" ht="29.25">
      <c r="A25" s="260"/>
      <c r="B25" s="262"/>
      <c r="C25" s="255"/>
      <c r="D25" s="266">
        <v>5</v>
      </c>
      <c r="E25" s="121" t="s">
        <v>109</v>
      </c>
      <c r="F25" s="122" t="s">
        <v>110</v>
      </c>
      <c r="G25" s="125" t="s">
        <v>85</v>
      </c>
      <c r="H25" s="82">
        <v>1.5</v>
      </c>
      <c r="I25" s="64"/>
      <c r="J25" s="60"/>
      <c r="K25" s="60"/>
    </row>
    <row r="26" spans="1:11">
      <c r="A26" s="260"/>
      <c r="B26" s="262"/>
      <c r="C26" s="255"/>
      <c r="D26" s="266"/>
      <c r="E26" s="123" t="s">
        <v>86</v>
      </c>
      <c r="F26" s="124"/>
      <c r="G26" s="125" t="s">
        <v>87</v>
      </c>
      <c r="H26" s="82"/>
      <c r="I26" s="64"/>
      <c r="J26" s="60"/>
      <c r="K26" s="60"/>
    </row>
    <row r="27" spans="1:11" ht="29.25">
      <c r="A27" s="260"/>
      <c r="B27" s="262"/>
      <c r="C27" s="255"/>
      <c r="D27" s="266">
        <v>6</v>
      </c>
      <c r="E27" s="121" t="s">
        <v>111</v>
      </c>
      <c r="F27" s="122" t="s">
        <v>112</v>
      </c>
      <c r="G27" s="125" t="s">
        <v>85</v>
      </c>
      <c r="H27" s="82">
        <v>1.5</v>
      </c>
      <c r="I27" s="64"/>
      <c r="J27" s="60"/>
      <c r="K27" s="60"/>
    </row>
    <row r="28" spans="1:11">
      <c r="A28" s="260"/>
      <c r="B28" s="262"/>
      <c r="C28" s="255"/>
      <c r="D28" s="266"/>
      <c r="E28" s="123" t="s">
        <v>86</v>
      </c>
      <c r="F28" s="124"/>
      <c r="G28" s="125" t="s">
        <v>87</v>
      </c>
      <c r="H28" s="82"/>
      <c r="I28" s="64"/>
      <c r="J28" s="60"/>
      <c r="K28" s="60"/>
    </row>
    <row r="29" spans="1:11" ht="29.25">
      <c r="A29" s="260"/>
      <c r="B29" s="262"/>
      <c r="C29" s="255"/>
      <c r="D29" s="266">
        <v>7</v>
      </c>
      <c r="E29" s="121" t="s">
        <v>113</v>
      </c>
      <c r="F29" s="122" t="s">
        <v>114</v>
      </c>
      <c r="G29" s="125" t="s">
        <v>85</v>
      </c>
      <c r="H29" s="82">
        <v>1.5</v>
      </c>
      <c r="I29" s="64"/>
      <c r="J29" s="60"/>
      <c r="K29" s="60"/>
    </row>
    <row r="30" spans="1:11">
      <c r="A30" s="260"/>
      <c r="B30" s="271"/>
      <c r="C30" s="256"/>
      <c r="D30" s="266"/>
      <c r="E30" s="123" t="s">
        <v>86</v>
      </c>
      <c r="F30" s="124"/>
      <c r="G30" s="125" t="s">
        <v>87</v>
      </c>
      <c r="H30" s="82"/>
      <c r="I30" s="64"/>
      <c r="J30" s="63"/>
      <c r="K30" s="63"/>
    </row>
    <row r="31" spans="1:11" ht="43.5">
      <c r="A31" s="259">
        <v>3</v>
      </c>
      <c r="B31" s="261" t="s">
        <v>115</v>
      </c>
      <c r="C31" s="254" t="b">
        <v>1</v>
      </c>
      <c r="D31" s="273">
        <v>1</v>
      </c>
      <c r="E31" s="61" t="s">
        <v>116</v>
      </c>
      <c r="F31" s="61" t="s">
        <v>117</v>
      </c>
      <c r="G31" s="64" t="s">
        <v>85</v>
      </c>
      <c r="H31" s="74">
        <v>1</v>
      </c>
      <c r="I31" s="64"/>
      <c r="J31" s="63"/>
      <c r="K31" s="63"/>
    </row>
    <row r="32" spans="1:11">
      <c r="A32" s="260"/>
      <c r="B32" s="262"/>
      <c r="C32" s="255"/>
      <c r="D32" s="274"/>
      <c r="E32" s="61" t="s">
        <v>86</v>
      </c>
      <c r="F32" s="61"/>
      <c r="G32" s="64" t="s">
        <v>87</v>
      </c>
      <c r="H32" s="74"/>
      <c r="I32" s="64"/>
      <c r="J32" s="60"/>
      <c r="K32" s="60"/>
    </row>
    <row r="33" spans="1:11" ht="29.25">
      <c r="A33" s="260"/>
      <c r="B33" s="262"/>
      <c r="C33" s="255"/>
      <c r="D33" s="276" t="s">
        <v>118</v>
      </c>
      <c r="E33" s="61" t="s">
        <v>119</v>
      </c>
      <c r="F33" s="61" t="s">
        <v>120</v>
      </c>
      <c r="G33" s="64" t="s">
        <v>85</v>
      </c>
      <c r="H33" s="74">
        <v>2</v>
      </c>
      <c r="I33" s="64"/>
      <c r="J33" s="60"/>
      <c r="K33" s="60"/>
    </row>
    <row r="34" spans="1:11">
      <c r="A34" s="260"/>
      <c r="B34" s="262"/>
      <c r="C34" s="255"/>
      <c r="D34" s="274"/>
      <c r="E34" s="61" t="s">
        <v>86</v>
      </c>
      <c r="F34" s="61"/>
      <c r="G34" s="64" t="s">
        <v>87</v>
      </c>
      <c r="H34" s="74"/>
      <c r="I34" s="64"/>
      <c r="J34" s="60"/>
      <c r="K34" s="60"/>
    </row>
    <row r="35" spans="1:11" ht="29.25">
      <c r="A35" s="260"/>
      <c r="B35" s="262"/>
      <c r="C35" s="255"/>
      <c r="D35" s="276" t="s">
        <v>121</v>
      </c>
      <c r="E35" s="61" t="s">
        <v>122</v>
      </c>
      <c r="F35" s="61" t="s">
        <v>123</v>
      </c>
      <c r="G35" s="64" t="s">
        <v>85</v>
      </c>
      <c r="H35" s="74">
        <v>2</v>
      </c>
      <c r="I35" s="64"/>
      <c r="J35" s="60"/>
      <c r="K35" s="60"/>
    </row>
    <row r="36" spans="1:11">
      <c r="A36" s="260"/>
      <c r="B36" s="262"/>
      <c r="C36" s="255"/>
      <c r="D36" s="274"/>
      <c r="E36" s="61" t="s">
        <v>86</v>
      </c>
      <c r="F36" s="61"/>
      <c r="G36" s="64" t="s">
        <v>87</v>
      </c>
      <c r="H36" s="74"/>
      <c r="I36" s="64"/>
      <c r="J36" s="60"/>
      <c r="K36" s="60"/>
    </row>
    <row r="37" spans="1:11">
      <c r="A37" s="260"/>
      <c r="B37" s="262"/>
      <c r="C37" s="255"/>
      <c r="D37" s="263" t="s">
        <v>124</v>
      </c>
      <c r="E37" s="61" t="s">
        <v>125</v>
      </c>
      <c r="F37" s="61" t="s">
        <v>126</v>
      </c>
      <c r="G37" s="64" t="s">
        <v>85</v>
      </c>
      <c r="H37" s="74">
        <v>2</v>
      </c>
      <c r="I37" s="64"/>
      <c r="J37" s="60"/>
      <c r="K37" s="60"/>
    </row>
    <row r="38" spans="1:11">
      <c r="A38" s="260"/>
      <c r="B38" s="262"/>
      <c r="C38" s="255"/>
      <c r="D38" s="264"/>
      <c r="E38" s="59" t="s">
        <v>86</v>
      </c>
      <c r="F38" s="61"/>
      <c r="G38" s="64" t="s">
        <v>87</v>
      </c>
      <c r="H38" s="74"/>
      <c r="I38" s="64"/>
      <c r="J38" s="60"/>
      <c r="K38" s="60"/>
    </row>
    <row r="39" spans="1:11" ht="72.75">
      <c r="A39" s="265">
        <v>4</v>
      </c>
      <c r="B39" s="275" t="s">
        <v>127</v>
      </c>
      <c r="C39" s="257" t="b">
        <v>1</v>
      </c>
      <c r="D39" s="277">
        <v>1</v>
      </c>
      <c r="E39" s="73" t="s">
        <v>128</v>
      </c>
      <c r="F39" s="78" t="s">
        <v>129</v>
      </c>
      <c r="G39" s="76" t="s">
        <v>85</v>
      </c>
      <c r="H39" s="74">
        <v>1</v>
      </c>
      <c r="I39" s="65"/>
      <c r="J39" s="63"/>
      <c r="K39" s="60"/>
    </row>
    <row r="40" spans="1:11">
      <c r="A40" s="265"/>
      <c r="B40" s="275"/>
      <c r="C40" s="257"/>
      <c r="D40" s="277"/>
      <c r="E40" s="72" t="s">
        <v>86</v>
      </c>
      <c r="F40" s="71"/>
      <c r="G40" s="64" t="s">
        <v>87</v>
      </c>
      <c r="H40" s="74">
        <v>1</v>
      </c>
      <c r="I40" s="64"/>
      <c r="J40" s="60"/>
      <c r="K40" s="60"/>
    </row>
    <row r="41" spans="1:11" ht="57.75">
      <c r="A41" s="265"/>
      <c r="B41" s="275"/>
      <c r="C41" s="257"/>
      <c r="D41" s="258">
        <v>2</v>
      </c>
      <c r="E41" s="73" t="s">
        <v>130</v>
      </c>
      <c r="F41" s="78" t="s">
        <v>131</v>
      </c>
      <c r="G41" s="76" t="s">
        <v>85</v>
      </c>
      <c r="H41" s="74">
        <v>1</v>
      </c>
      <c r="I41" s="65"/>
      <c r="J41" s="63"/>
      <c r="K41" s="60"/>
    </row>
    <row r="42" spans="1:11">
      <c r="A42" s="265"/>
      <c r="B42" s="275"/>
      <c r="C42" s="257"/>
      <c r="D42" s="258"/>
      <c r="E42" s="72" t="s">
        <v>86</v>
      </c>
      <c r="F42" s="71"/>
      <c r="G42" s="64" t="s">
        <v>87</v>
      </c>
      <c r="H42" s="74"/>
      <c r="I42" s="64"/>
      <c r="J42" s="60"/>
      <c r="K42" s="60"/>
    </row>
    <row r="43" spans="1:11" ht="72.75">
      <c r="A43" s="265"/>
      <c r="B43" s="275"/>
      <c r="C43" s="257"/>
      <c r="D43" s="258">
        <v>3</v>
      </c>
      <c r="E43" s="75" t="s">
        <v>132</v>
      </c>
      <c r="F43" s="78" t="s">
        <v>133</v>
      </c>
      <c r="G43" s="76" t="s">
        <v>85</v>
      </c>
      <c r="H43" s="74">
        <v>1</v>
      </c>
      <c r="I43" s="65"/>
      <c r="J43" s="63"/>
      <c r="K43" s="60"/>
    </row>
    <row r="44" spans="1:11">
      <c r="A44" s="265"/>
      <c r="B44" s="275"/>
      <c r="C44" s="257"/>
      <c r="D44" s="258"/>
      <c r="E44" s="72" t="s">
        <v>86</v>
      </c>
      <c r="F44" s="71"/>
      <c r="G44" s="64" t="s">
        <v>87</v>
      </c>
      <c r="H44" s="74"/>
      <c r="I44" s="64"/>
      <c r="J44" s="60"/>
      <c r="K44" s="60"/>
    </row>
    <row r="45" spans="1:11" ht="144.75">
      <c r="A45" s="265"/>
      <c r="B45" s="275"/>
      <c r="C45" s="257"/>
      <c r="D45" s="265">
        <v>4</v>
      </c>
      <c r="E45" s="73" t="s">
        <v>134</v>
      </c>
      <c r="F45" s="78" t="s">
        <v>135</v>
      </c>
      <c r="G45" s="76" t="s">
        <v>85</v>
      </c>
      <c r="H45" s="74">
        <v>1</v>
      </c>
      <c r="I45" s="65"/>
      <c r="J45" s="60"/>
      <c r="K45" s="60"/>
    </row>
    <row r="46" spans="1:11">
      <c r="A46" s="265"/>
      <c r="B46" s="275"/>
      <c r="C46" s="257"/>
      <c r="D46" s="265"/>
      <c r="E46" s="72" t="s">
        <v>86</v>
      </c>
      <c r="F46" s="71"/>
      <c r="G46" s="64" t="s">
        <v>87</v>
      </c>
      <c r="H46" s="74"/>
      <c r="I46" s="64"/>
      <c r="J46" s="60"/>
      <c r="K46" s="60"/>
    </row>
    <row r="47" spans="1:11" ht="87">
      <c r="A47" s="265"/>
      <c r="B47" s="275"/>
      <c r="C47" s="257"/>
      <c r="D47" s="265">
        <v>5</v>
      </c>
      <c r="E47" s="73" t="s">
        <v>136</v>
      </c>
      <c r="F47" s="78" t="s">
        <v>137</v>
      </c>
      <c r="G47" s="76" t="s">
        <v>85</v>
      </c>
      <c r="H47" s="74">
        <v>1</v>
      </c>
      <c r="I47" s="65"/>
      <c r="J47" s="60"/>
      <c r="K47" s="60"/>
    </row>
    <row r="48" spans="1:11">
      <c r="A48" s="265"/>
      <c r="B48" s="275"/>
      <c r="C48" s="257"/>
      <c r="D48" s="265"/>
      <c r="E48" s="72" t="s">
        <v>86</v>
      </c>
      <c r="F48" s="71"/>
      <c r="G48" s="64" t="s">
        <v>87</v>
      </c>
      <c r="H48" s="74"/>
      <c r="I48" s="64"/>
      <c r="J48" s="60"/>
      <c r="K48" s="60"/>
    </row>
    <row r="49" spans="1:11" ht="72.75">
      <c r="A49" s="265"/>
      <c r="B49" s="275"/>
      <c r="C49" s="257"/>
      <c r="D49" s="265">
        <v>6</v>
      </c>
      <c r="E49" s="77" t="s">
        <v>138</v>
      </c>
      <c r="F49" s="78" t="s">
        <v>139</v>
      </c>
      <c r="G49" s="76" t="s">
        <v>85</v>
      </c>
      <c r="H49" s="74">
        <v>1</v>
      </c>
      <c r="I49" s="65"/>
      <c r="J49" s="60"/>
      <c r="K49" s="60"/>
    </row>
    <row r="50" spans="1:11">
      <c r="A50" s="265"/>
      <c r="B50" s="275"/>
      <c r="C50" s="257"/>
      <c r="D50" s="265"/>
      <c r="E50" s="72" t="s">
        <v>86</v>
      </c>
      <c r="F50" s="71"/>
      <c r="G50" s="64" t="s">
        <v>87</v>
      </c>
      <c r="H50" s="74"/>
      <c r="I50" s="64"/>
      <c r="J50" s="60"/>
      <c r="K50" s="60"/>
    </row>
    <row r="51" spans="1:11" ht="57.75">
      <c r="A51" s="265"/>
      <c r="B51" s="275"/>
      <c r="C51" s="257"/>
      <c r="D51" s="265">
        <v>7</v>
      </c>
      <c r="E51" s="73" t="s">
        <v>140</v>
      </c>
      <c r="F51" s="78" t="s">
        <v>141</v>
      </c>
      <c r="G51" s="76" t="s">
        <v>85</v>
      </c>
      <c r="H51" s="74">
        <v>1</v>
      </c>
      <c r="I51" s="65"/>
      <c r="J51" s="63"/>
      <c r="K51" s="60"/>
    </row>
    <row r="52" spans="1:11">
      <c r="A52" s="265"/>
      <c r="B52" s="275"/>
      <c r="C52" s="257"/>
      <c r="D52" s="265"/>
      <c r="E52" s="72" t="s">
        <v>86</v>
      </c>
      <c r="F52" s="71"/>
      <c r="G52" s="64" t="s">
        <v>87</v>
      </c>
      <c r="H52" s="74"/>
      <c r="I52" s="64"/>
      <c r="J52" s="60"/>
      <c r="K52" s="60"/>
    </row>
    <row r="53" spans="1:11" ht="87">
      <c r="A53" s="265"/>
      <c r="B53" s="275"/>
      <c r="C53" s="257"/>
      <c r="D53" s="265">
        <v>8</v>
      </c>
      <c r="E53" s="73" t="s">
        <v>142</v>
      </c>
      <c r="F53" s="78" t="s">
        <v>141</v>
      </c>
      <c r="G53" s="76" t="s">
        <v>85</v>
      </c>
      <c r="H53" s="74">
        <v>1</v>
      </c>
      <c r="I53" s="65"/>
      <c r="J53" s="63"/>
      <c r="K53" s="60"/>
    </row>
    <row r="54" spans="1:11">
      <c r="A54" s="265"/>
      <c r="B54" s="275"/>
      <c r="C54" s="257"/>
      <c r="D54" s="265"/>
      <c r="E54" s="72" t="s">
        <v>86</v>
      </c>
      <c r="F54" s="71"/>
      <c r="G54" s="64" t="s">
        <v>87</v>
      </c>
      <c r="H54" s="74"/>
      <c r="I54" s="64"/>
      <c r="J54" s="60"/>
      <c r="K54" s="60"/>
    </row>
    <row r="55" spans="1:11" ht="72.75">
      <c r="A55" s="265"/>
      <c r="B55" s="275"/>
      <c r="C55" s="257"/>
      <c r="D55" s="258">
        <v>9</v>
      </c>
      <c r="E55" s="73" t="s">
        <v>143</v>
      </c>
      <c r="F55" s="78" t="s">
        <v>144</v>
      </c>
      <c r="G55" s="76" t="s">
        <v>85</v>
      </c>
      <c r="H55" s="74">
        <v>1</v>
      </c>
      <c r="I55" s="65"/>
      <c r="J55" s="60"/>
      <c r="K55" s="60"/>
    </row>
    <row r="56" spans="1:11">
      <c r="A56" s="265"/>
      <c r="B56" s="275"/>
      <c r="C56" s="257"/>
      <c r="D56" s="258"/>
      <c r="E56" s="72" t="s">
        <v>86</v>
      </c>
      <c r="F56" s="71"/>
      <c r="G56" s="64" t="s">
        <v>87</v>
      </c>
      <c r="H56" s="74"/>
      <c r="I56" s="64"/>
      <c r="J56" s="60"/>
      <c r="K56" s="60"/>
    </row>
    <row r="57" spans="1:11" ht="101.25">
      <c r="A57" s="265"/>
      <c r="B57" s="275"/>
      <c r="C57" s="257"/>
      <c r="D57" s="258">
        <v>10</v>
      </c>
      <c r="E57" s="73" t="s">
        <v>145</v>
      </c>
      <c r="F57" s="80" t="s">
        <v>144</v>
      </c>
      <c r="G57" s="76" t="s">
        <v>85</v>
      </c>
      <c r="H57" s="74">
        <v>1</v>
      </c>
      <c r="I57" s="65"/>
      <c r="J57" s="60"/>
      <c r="K57" s="60"/>
    </row>
    <row r="58" spans="1:11">
      <c r="A58" s="265"/>
      <c r="B58" s="275"/>
      <c r="C58" s="257"/>
      <c r="D58" s="258"/>
      <c r="E58" s="72" t="s">
        <v>86</v>
      </c>
      <c r="F58" s="71"/>
      <c r="G58" s="64" t="s">
        <v>87</v>
      </c>
      <c r="H58" s="74"/>
      <c r="I58" s="64"/>
      <c r="J58" s="60"/>
      <c r="K58" s="60"/>
    </row>
    <row r="59" spans="1:11" ht="72.75">
      <c r="A59" s="265"/>
      <c r="B59" s="275" t="s">
        <v>146</v>
      </c>
      <c r="C59" s="257" t="b">
        <v>1</v>
      </c>
      <c r="D59" s="258">
        <v>1</v>
      </c>
      <c r="E59" s="73" t="s">
        <v>147</v>
      </c>
      <c r="F59" s="78" t="s">
        <v>148</v>
      </c>
      <c r="G59" s="76" t="s">
        <v>85</v>
      </c>
      <c r="H59" s="74">
        <v>1</v>
      </c>
      <c r="I59" s="65"/>
      <c r="J59" s="60"/>
      <c r="K59" s="60"/>
    </row>
    <row r="60" spans="1:11">
      <c r="A60" s="265"/>
      <c r="B60" s="275"/>
      <c r="C60" s="257"/>
      <c r="D60" s="258"/>
      <c r="E60" s="72" t="s">
        <v>86</v>
      </c>
      <c r="F60" s="71"/>
      <c r="G60" s="64" t="s">
        <v>87</v>
      </c>
      <c r="H60" s="74">
        <v>1</v>
      </c>
      <c r="I60" s="64"/>
      <c r="J60" s="60"/>
      <c r="K60" s="60"/>
    </row>
    <row r="61" spans="1:11" ht="115.5">
      <c r="A61" s="265"/>
      <c r="B61" s="275"/>
      <c r="C61" s="257"/>
      <c r="D61" s="258">
        <v>2</v>
      </c>
      <c r="E61" s="73" t="s">
        <v>149</v>
      </c>
      <c r="F61" s="78" t="s">
        <v>150</v>
      </c>
      <c r="G61" s="76" t="s">
        <v>85</v>
      </c>
      <c r="H61" s="74">
        <v>1</v>
      </c>
      <c r="I61" s="65"/>
      <c r="J61" s="60"/>
      <c r="K61" s="60"/>
    </row>
    <row r="62" spans="1:11">
      <c r="A62" s="265"/>
      <c r="B62" s="275"/>
      <c r="C62" s="257"/>
      <c r="D62" s="258"/>
      <c r="E62" s="72" t="s">
        <v>86</v>
      </c>
      <c r="F62" s="71"/>
      <c r="G62" s="64" t="s">
        <v>87</v>
      </c>
      <c r="H62" s="74">
        <v>1</v>
      </c>
      <c r="I62" s="64"/>
      <c r="J62" s="60"/>
      <c r="K62" s="60"/>
    </row>
    <row r="63" spans="1:11" ht="87">
      <c r="A63" s="265"/>
      <c r="B63" s="275"/>
      <c r="C63" s="257"/>
      <c r="D63" s="258">
        <v>3</v>
      </c>
      <c r="E63" s="73" t="s">
        <v>151</v>
      </c>
      <c r="F63" s="78" t="s">
        <v>152</v>
      </c>
      <c r="G63" s="76" t="s">
        <v>85</v>
      </c>
      <c r="H63" s="74">
        <v>1</v>
      </c>
      <c r="I63" s="65"/>
      <c r="J63" s="60"/>
      <c r="K63" s="63"/>
    </row>
    <row r="64" spans="1:11">
      <c r="A64" s="265"/>
      <c r="B64" s="275"/>
      <c r="C64" s="257"/>
      <c r="D64" s="258"/>
      <c r="E64" s="72" t="s">
        <v>86</v>
      </c>
      <c r="F64" s="71"/>
      <c r="G64" s="64" t="s">
        <v>87</v>
      </c>
      <c r="H64" s="74">
        <v>1</v>
      </c>
      <c r="I64" s="64"/>
      <c r="J64" s="60"/>
      <c r="K64" s="60"/>
    </row>
    <row r="65" spans="1:11" ht="87">
      <c r="A65" s="265"/>
      <c r="B65" s="275"/>
      <c r="C65" s="257"/>
      <c r="D65" s="258">
        <v>4</v>
      </c>
      <c r="E65" s="73" t="s">
        <v>151</v>
      </c>
      <c r="F65" s="78" t="s">
        <v>152</v>
      </c>
      <c r="G65" s="76" t="s">
        <v>85</v>
      </c>
      <c r="H65" s="74">
        <v>1</v>
      </c>
      <c r="I65" s="65"/>
      <c r="J65" s="60"/>
      <c r="K65" s="63"/>
    </row>
    <row r="66" spans="1:11">
      <c r="A66" s="265"/>
      <c r="B66" s="275"/>
      <c r="C66" s="257"/>
      <c r="D66" s="258"/>
      <c r="E66" s="72" t="s">
        <v>86</v>
      </c>
      <c r="F66" s="71"/>
      <c r="G66" s="64" t="s">
        <v>87</v>
      </c>
      <c r="H66" s="74">
        <v>1</v>
      </c>
      <c r="I66" s="64"/>
      <c r="J66" s="63"/>
      <c r="K66" s="60"/>
    </row>
    <row r="67" spans="1:11" ht="57.75">
      <c r="A67" s="265"/>
      <c r="B67" s="275"/>
      <c r="C67" s="257"/>
      <c r="D67" s="258">
        <v>5</v>
      </c>
      <c r="E67" s="73" t="s">
        <v>153</v>
      </c>
      <c r="F67" s="79" t="s">
        <v>154</v>
      </c>
      <c r="G67" s="76" t="s">
        <v>85</v>
      </c>
      <c r="H67" s="74">
        <v>1</v>
      </c>
      <c r="I67" s="81"/>
      <c r="J67" s="62"/>
      <c r="K67" s="83"/>
    </row>
    <row r="68" spans="1:11">
      <c r="A68" s="265"/>
      <c r="B68" s="275"/>
      <c r="C68" s="257"/>
      <c r="D68" s="258"/>
      <c r="E68" s="72" t="s">
        <v>86</v>
      </c>
      <c r="F68" s="71"/>
      <c r="G68" s="64" t="s">
        <v>87</v>
      </c>
      <c r="H68" s="74">
        <v>1</v>
      </c>
      <c r="I68" s="82"/>
      <c r="J68" s="62"/>
      <c r="K68" s="84"/>
    </row>
    <row r="69" spans="1:11" ht="57.75">
      <c r="A69" s="265"/>
      <c r="B69" s="275"/>
      <c r="C69" s="257"/>
      <c r="D69" s="278" t="s">
        <v>155</v>
      </c>
      <c r="E69" s="73" t="s">
        <v>156</v>
      </c>
      <c r="F69" s="78" t="s">
        <v>154</v>
      </c>
      <c r="G69" s="76" t="s">
        <v>85</v>
      </c>
      <c r="H69" s="74">
        <v>1</v>
      </c>
      <c r="I69" s="81"/>
      <c r="J69" s="62"/>
      <c r="K69" s="83"/>
    </row>
    <row r="70" spans="1:11" ht="15" customHeight="1">
      <c r="A70" s="265"/>
      <c r="B70" s="275"/>
      <c r="C70" s="257"/>
      <c r="D70" s="278"/>
      <c r="E70" s="72" t="s">
        <v>86</v>
      </c>
      <c r="F70" s="71"/>
      <c r="G70" s="64" t="s">
        <v>87</v>
      </c>
      <c r="H70" s="74">
        <v>1</v>
      </c>
      <c r="I70" s="82"/>
      <c r="J70" s="62"/>
      <c r="K70" s="84"/>
    </row>
    <row r="71" spans="1:11" ht="57.75">
      <c r="A71" s="265"/>
      <c r="B71" s="275"/>
      <c r="C71" s="257"/>
      <c r="D71" s="279">
        <v>7</v>
      </c>
      <c r="E71" s="73" t="s">
        <v>157</v>
      </c>
      <c r="F71" s="80" t="s">
        <v>158</v>
      </c>
      <c r="G71" s="76" t="s">
        <v>85</v>
      </c>
      <c r="H71" s="74">
        <v>1</v>
      </c>
      <c r="I71" s="81"/>
      <c r="J71" s="62"/>
      <c r="K71" s="83"/>
    </row>
    <row r="72" spans="1:11" ht="15" customHeight="1">
      <c r="A72" s="265"/>
      <c r="B72" s="275"/>
      <c r="C72" s="257"/>
      <c r="D72" s="279"/>
      <c r="E72" s="72" t="s">
        <v>86</v>
      </c>
      <c r="F72" s="71"/>
      <c r="G72" s="64" t="s">
        <v>87</v>
      </c>
      <c r="H72" s="74">
        <v>1</v>
      </c>
      <c r="I72" s="82"/>
      <c r="J72" s="62"/>
      <c r="K72" s="84"/>
    </row>
    <row r="73" spans="1:11" ht="274.5">
      <c r="B73" s="130" t="s">
        <v>159</v>
      </c>
      <c r="C73" s="131" t="b">
        <v>1</v>
      </c>
      <c r="D73" s="132" t="s">
        <v>160</v>
      </c>
      <c r="E73" s="133" t="s">
        <v>161</v>
      </c>
      <c r="F73" s="134" t="s">
        <v>162</v>
      </c>
      <c r="G73" s="135" t="s">
        <v>85</v>
      </c>
      <c r="H73" s="87">
        <v>10</v>
      </c>
      <c r="I73" s="15"/>
      <c r="J73" s="15"/>
      <c r="K73" s="136" t="s">
        <v>163</v>
      </c>
    </row>
    <row r="74" spans="1:11" ht="288.75">
      <c r="B74" s="130" t="s">
        <v>164</v>
      </c>
      <c r="C74" s="131" t="b">
        <v>0</v>
      </c>
      <c r="D74" s="132" t="s">
        <v>160</v>
      </c>
      <c r="E74" s="133" t="s">
        <v>165</v>
      </c>
      <c r="F74" s="134" t="s">
        <v>166</v>
      </c>
      <c r="G74" s="135" t="s">
        <v>85</v>
      </c>
      <c r="H74" s="87">
        <v>11</v>
      </c>
      <c r="I74" s="15"/>
      <c r="J74" s="15"/>
      <c r="K74" s="136" t="s">
        <v>163</v>
      </c>
    </row>
    <row r="75" spans="1:11" ht="288.75">
      <c r="B75" s="130" t="s">
        <v>167</v>
      </c>
      <c r="C75" s="131" t="b">
        <v>0</v>
      </c>
      <c r="D75" s="132" t="s">
        <v>160</v>
      </c>
      <c r="E75" s="16" t="s">
        <v>168</v>
      </c>
      <c r="F75" s="137" t="s">
        <v>169</v>
      </c>
      <c r="G75" s="135" t="s">
        <v>85</v>
      </c>
      <c r="H75" s="87">
        <v>12</v>
      </c>
      <c r="I75" s="15"/>
      <c r="J75" s="15"/>
      <c r="K75" s="136" t="s">
        <v>163</v>
      </c>
    </row>
    <row r="76" spans="1:11" ht="174">
      <c r="B76" s="246" t="s">
        <v>170</v>
      </c>
      <c r="C76" s="131" t="b">
        <v>1</v>
      </c>
      <c r="D76" s="138" t="s">
        <v>171</v>
      </c>
      <c r="E76" s="139" t="s">
        <v>172</v>
      </c>
      <c r="F76" s="140" t="s">
        <v>173</v>
      </c>
      <c r="G76" s="141" t="s">
        <v>85</v>
      </c>
      <c r="H76" s="142">
        <v>10</v>
      </c>
      <c r="I76" s="143"/>
      <c r="J76" s="128"/>
      <c r="K76" s="144" t="s">
        <v>174</v>
      </c>
    </row>
    <row r="77" spans="1:11" ht="174">
      <c r="B77" s="247"/>
      <c r="C77" s="131" t="b">
        <v>0</v>
      </c>
      <c r="D77" s="138" t="s">
        <v>171</v>
      </c>
      <c r="E77" s="139" t="s">
        <v>175</v>
      </c>
      <c r="F77" s="126" t="s">
        <v>176</v>
      </c>
      <c r="G77" s="141" t="s">
        <v>85</v>
      </c>
      <c r="H77" s="142">
        <v>8</v>
      </c>
      <c r="I77" s="54"/>
      <c r="J77" s="128"/>
      <c r="K77" s="144" t="s">
        <v>174</v>
      </c>
    </row>
    <row r="78" spans="1:11" ht="216.75">
      <c r="B78" s="247"/>
      <c r="C78" s="131" t="b">
        <v>0</v>
      </c>
      <c r="D78" s="138" t="s">
        <v>171</v>
      </c>
      <c r="E78" s="146" t="s">
        <v>177</v>
      </c>
      <c r="F78" s="140" t="s">
        <v>178</v>
      </c>
      <c r="G78" s="141" t="s">
        <v>85</v>
      </c>
      <c r="H78" s="142">
        <v>10</v>
      </c>
      <c r="I78" s="54"/>
      <c r="J78" s="128"/>
      <c r="K78" s="144" t="s">
        <v>174</v>
      </c>
    </row>
    <row r="79" spans="1:11" ht="174">
      <c r="B79" s="247"/>
      <c r="C79" s="131" t="b">
        <v>0</v>
      </c>
      <c r="D79" s="138" t="s">
        <v>171</v>
      </c>
      <c r="E79" s="139" t="s">
        <v>179</v>
      </c>
      <c r="F79" s="140" t="s">
        <v>180</v>
      </c>
      <c r="G79" s="141" t="s">
        <v>85</v>
      </c>
      <c r="H79" s="142">
        <v>13</v>
      </c>
      <c r="I79" s="54"/>
      <c r="J79" s="128"/>
      <c r="K79" s="144" t="s">
        <v>174</v>
      </c>
    </row>
    <row r="80" spans="1:11" ht="115.5">
      <c r="B80" s="247"/>
      <c r="C80" s="131" t="b">
        <v>0</v>
      </c>
      <c r="D80" s="138" t="s">
        <v>181</v>
      </c>
      <c r="E80" s="146" t="s">
        <v>182</v>
      </c>
      <c r="F80" s="140" t="s">
        <v>183</v>
      </c>
      <c r="G80" s="141" t="s">
        <v>85</v>
      </c>
      <c r="H80" s="142">
        <v>5</v>
      </c>
      <c r="I80" s="54"/>
      <c r="J80" s="128"/>
      <c r="K80" s="144" t="s">
        <v>174</v>
      </c>
    </row>
    <row r="81" spans="2:11" ht="115.5">
      <c r="B81" s="247"/>
      <c r="C81" s="131" t="b">
        <v>0</v>
      </c>
      <c r="D81" s="138" t="s">
        <v>181</v>
      </c>
      <c r="E81" s="146" t="s">
        <v>184</v>
      </c>
      <c r="F81" s="140" t="s">
        <v>183</v>
      </c>
      <c r="G81" s="141" t="s">
        <v>85</v>
      </c>
      <c r="H81" s="142">
        <v>6</v>
      </c>
      <c r="I81" s="54"/>
      <c r="J81" s="128"/>
      <c r="K81" s="144" t="s">
        <v>174</v>
      </c>
    </row>
    <row r="82" spans="2:11" ht="101.25">
      <c r="B82" s="247"/>
      <c r="C82" s="131" t="b">
        <v>0</v>
      </c>
      <c r="D82" s="138" t="s">
        <v>181</v>
      </c>
      <c r="E82" s="146" t="s">
        <v>185</v>
      </c>
      <c r="F82" s="140" t="s">
        <v>186</v>
      </c>
      <c r="G82" s="141" t="s">
        <v>85</v>
      </c>
      <c r="H82" s="142">
        <v>6</v>
      </c>
      <c r="I82" s="54"/>
      <c r="J82" s="128"/>
      <c r="K82" s="144" t="s">
        <v>174</v>
      </c>
    </row>
    <row r="83" spans="2:11" ht="115.5">
      <c r="B83" s="248"/>
      <c r="C83" s="131" t="b">
        <v>0</v>
      </c>
      <c r="D83" s="138" t="s">
        <v>187</v>
      </c>
      <c r="E83" s="139" t="s">
        <v>188</v>
      </c>
      <c r="F83" s="140" t="s">
        <v>189</v>
      </c>
      <c r="G83" s="141" t="s">
        <v>85</v>
      </c>
      <c r="H83" s="142">
        <v>10</v>
      </c>
      <c r="I83" s="54"/>
      <c r="J83" s="128"/>
      <c r="K83" s="144" t="s">
        <v>174</v>
      </c>
    </row>
    <row r="84" spans="2:11" ht="260.25">
      <c r="B84" s="246" t="s">
        <v>190</v>
      </c>
      <c r="C84" s="131" t="b">
        <v>0</v>
      </c>
      <c r="D84" s="147" t="s">
        <v>181</v>
      </c>
      <c r="E84" s="148" t="s">
        <v>191</v>
      </c>
      <c r="F84" s="149" t="s">
        <v>192</v>
      </c>
      <c r="G84" s="150" t="s">
        <v>85</v>
      </c>
      <c r="H84" s="151">
        <v>14</v>
      </c>
      <c r="I84" s="152"/>
      <c r="J84" s="128"/>
      <c r="K84" s="153" t="s">
        <v>193</v>
      </c>
    </row>
    <row r="85" spans="2:11" ht="288.75">
      <c r="B85" s="247"/>
      <c r="C85" s="154" t="b">
        <v>0</v>
      </c>
      <c r="D85" s="147" t="s">
        <v>194</v>
      </c>
      <c r="E85" s="155" t="s">
        <v>195</v>
      </c>
      <c r="F85" s="149" t="s">
        <v>196</v>
      </c>
      <c r="G85" s="150" t="s">
        <v>85</v>
      </c>
      <c r="H85" s="151">
        <v>24</v>
      </c>
      <c r="I85" s="152"/>
      <c r="J85" s="128"/>
      <c r="K85" s="153" t="s">
        <v>193</v>
      </c>
    </row>
    <row r="86" spans="2:11" ht="318">
      <c r="B86" s="247"/>
      <c r="C86" s="154" t="b">
        <v>0</v>
      </c>
      <c r="D86" s="147" t="s">
        <v>171</v>
      </c>
      <c r="E86" s="155" t="s">
        <v>197</v>
      </c>
      <c r="F86" s="149" t="s">
        <v>198</v>
      </c>
      <c r="G86" s="150" t="s">
        <v>85</v>
      </c>
      <c r="H86" s="151">
        <v>24</v>
      </c>
      <c r="I86" s="152"/>
      <c r="J86" s="128"/>
      <c r="K86" s="153" t="s">
        <v>193</v>
      </c>
    </row>
    <row r="87" spans="2:11" ht="121.5">
      <c r="B87" s="246" t="s">
        <v>199</v>
      </c>
      <c r="C87" s="154" t="b">
        <v>0</v>
      </c>
      <c r="D87" s="156" t="s">
        <v>171</v>
      </c>
      <c r="E87" s="157" t="s">
        <v>200</v>
      </c>
      <c r="F87" s="126" t="s">
        <v>201</v>
      </c>
      <c r="G87" s="150" t="s">
        <v>85</v>
      </c>
      <c r="H87" s="151">
        <v>10</v>
      </c>
      <c r="I87" s="152"/>
      <c r="J87" s="129"/>
      <c r="K87" s="158" t="s">
        <v>202</v>
      </c>
    </row>
    <row r="88" spans="2:11" ht="15" customHeight="1">
      <c r="B88" s="248"/>
      <c r="C88" s="154" t="b">
        <v>0</v>
      </c>
      <c r="D88" s="156" t="s">
        <v>171</v>
      </c>
      <c r="E88" s="159" t="s">
        <v>203</v>
      </c>
      <c r="F88" s="160"/>
      <c r="G88" s="161" t="s">
        <v>85</v>
      </c>
      <c r="H88" s="162">
        <v>10</v>
      </c>
      <c r="I88" s="163"/>
      <c r="J88" s="126"/>
      <c r="K88" s="164"/>
    </row>
    <row r="89" spans="2:11" ht="231">
      <c r="B89" s="145" t="s">
        <v>204</v>
      </c>
      <c r="C89" s="154" t="b">
        <v>0</v>
      </c>
      <c r="D89" s="147" t="s">
        <v>171</v>
      </c>
      <c r="E89" s="19" t="s">
        <v>57</v>
      </c>
      <c r="F89" s="165" t="s">
        <v>205</v>
      </c>
      <c r="G89" s="166" t="s">
        <v>85</v>
      </c>
      <c r="H89" s="166">
        <v>10</v>
      </c>
      <c r="I89" s="163"/>
      <c r="J89" s="126"/>
      <c r="K89" s="158" t="s">
        <v>206</v>
      </c>
    </row>
    <row r="90" spans="2:11" ht="216.75">
      <c r="B90" s="249" t="s">
        <v>207</v>
      </c>
      <c r="C90" s="154" t="b">
        <v>0</v>
      </c>
      <c r="D90" s="156" t="s">
        <v>171</v>
      </c>
      <c r="E90" s="15" t="s">
        <v>208</v>
      </c>
      <c r="F90" s="167" t="s">
        <v>209</v>
      </c>
      <c r="G90" s="135" t="s">
        <v>85</v>
      </c>
      <c r="H90" s="135">
        <v>10</v>
      </c>
      <c r="I90" s="168"/>
      <c r="J90" s="66"/>
      <c r="K90" s="158" t="s">
        <v>210</v>
      </c>
    </row>
    <row r="91" spans="2:11" ht="260.25">
      <c r="B91" s="250"/>
      <c r="C91" s="154" t="b">
        <v>0</v>
      </c>
      <c r="D91" s="156" t="s">
        <v>171</v>
      </c>
      <c r="E91" s="15" t="s">
        <v>211</v>
      </c>
      <c r="F91" s="167" t="s">
        <v>212</v>
      </c>
      <c r="G91" s="135" t="s">
        <v>85</v>
      </c>
      <c r="H91" s="135">
        <v>10</v>
      </c>
      <c r="I91" s="168"/>
      <c r="J91" s="66"/>
      <c r="K91" s="158" t="s">
        <v>213</v>
      </c>
    </row>
    <row r="92" spans="2:11" ht="260.25">
      <c r="B92" s="169" t="s">
        <v>214</v>
      </c>
      <c r="C92" s="170" t="b">
        <v>0</v>
      </c>
      <c r="D92" s="171" t="s">
        <v>171</v>
      </c>
      <c r="E92" s="172" t="s">
        <v>65</v>
      </c>
      <c r="F92" s="173" t="s">
        <v>215</v>
      </c>
      <c r="G92" s="174" t="s">
        <v>85</v>
      </c>
      <c r="H92" s="175">
        <v>10</v>
      </c>
      <c r="I92" s="120"/>
      <c r="J92" s="176"/>
      <c r="K92" s="177" t="s">
        <v>216</v>
      </c>
    </row>
    <row r="95" spans="2:11" ht="15" customHeight="1">
      <c r="B95" s="178" t="s">
        <v>3</v>
      </c>
      <c r="C95" s="179"/>
    </row>
    <row r="96" spans="2:11" ht="15" customHeight="1">
      <c r="B96" s="180" t="s">
        <v>217</v>
      </c>
      <c r="C96" s="181">
        <f>COUNTIF($C$2:$C$93,TRUE)</f>
        <v>7</v>
      </c>
    </row>
    <row r="97" spans="2:3" ht="15" customHeight="1">
      <c r="B97" s="182" t="s">
        <v>218</v>
      </c>
      <c r="C97" s="183">
        <f>SUMIF($C$2:$C$92,TRUE,$H$2:$H$92)</f>
        <v>25.5</v>
      </c>
    </row>
    <row r="98" spans="2:3" ht="15" customHeight="1">
      <c r="B98" s="184" t="s">
        <v>219</v>
      </c>
      <c r="C98" s="185">
        <f>C97/22</f>
        <v>1.1590909090909092</v>
      </c>
    </row>
  </sheetData>
  <mergeCells count="54">
    <mergeCell ref="D11:D12"/>
    <mergeCell ref="D27:D28"/>
    <mergeCell ref="D29:D30"/>
    <mergeCell ref="D31:D32"/>
    <mergeCell ref="B59:B72"/>
    <mergeCell ref="D33:D34"/>
    <mergeCell ref="D35:D36"/>
    <mergeCell ref="B39:B58"/>
    <mergeCell ref="D57:D58"/>
    <mergeCell ref="D39:D40"/>
    <mergeCell ref="D41:D42"/>
    <mergeCell ref="D43:D44"/>
    <mergeCell ref="D45:D46"/>
    <mergeCell ref="D47:D48"/>
    <mergeCell ref="D69:D70"/>
    <mergeCell ref="D71:D72"/>
    <mergeCell ref="D23:D24"/>
    <mergeCell ref="D25:D26"/>
    <mergeCell ref="A2:B2"/>
    <mergeCell ref="A3:A16"/>
    <mergeCell ref="B3:B16"/>
    <mergeCell ref="A17:A30"/>
    <mergeCell ref="B17:B30"/>
    <mergeCell ref="D13:D14"/>
    <mergeCell ref="D15:D16"/>
    <mergeCell ref="D17:D18"/>
    <mergeCell ref="D19:D20"/>
    <mergeCell ref="D21:D22"/>
    <mergeCell ref="D3:D4"/>
    <mergeCell ref="D5:D6"/>
    <mergeCell ref="D7:D8"/>
    <mergeCell ref="D9:D10"/>
    <mergeCell ref="D67:D68"/>
    <mergeCell ref="A31:A38"/>
    <mergeCell ref="B31:B38"/>
    <mergeCell ref="D37:D38"/>
    <mergeCell ref="D59:D60"/>
    <mergeCell ref="D61:D62"/>
    <mergeCell ref="D63:D64"/>
    <mergeCell ref="D65:D66"/>
    <mergeCell ref="D49:D50"/>
    <mergeCell ref="D51:D52"/>
    <mergeCell ref="D53:D54"/>
    <mergeCell ref="D55:D56"/>
    <mergeCell ref="A39:A72"/>
    <mergeCell ref="B76:B83"/>
    <mergeCell ref="B84:B86"/>
    <mergeCell ref="B87:B88"/>
    <mergeCell ref="B90:B91"/>
    <mergeCell ref="C3:C16"/>
    <mergeCell ref="C17:C30"/>
    <mergeCell ref="C31:C38"/>
    <mergeCell ref="C39:C58"/>
    <mergeCell ref="C59:C72"/>
  </mergeCells>
  <hyperlinks>
    <hyperlink ref="K92" r:id="rId1" xr:uid="{474EEA0A-B0FD-4B37-97BA-50D6EF576297}"/>
    <hyperlink ref="K73" r:id="rId2" xr:uid="{46F50F7F-A02F-4A60-95E4-AFBA567F7151}"/>
    <hyperlink ref="K74" r:id="rId3" xr:uid="{CE3F4D78-15BE-4FB3-A52A-CF3857FB133E}"/>
    <hyperlink ref="K75" r:id="rId4" xr:uid="{06807E85-9475-4630-9E33-792E30FE7B4A}"/>
    <hyperlink ref="K76" r:id="rId5" xr:uid="{A8C41355-FC47-480E-A015-490855808EEE}"/>
    <hyperlink ref="K77" r:id="rId6" xr:uid="{1C88AF09-6997-4170-B900-C0E07CCF2C10}"/>
    <hyperlink ref="K78" r:id="rId7" xr:uid="{A5D12334-8568-4CFF-ADFB-70DEFCD221BF}"/>
    <hyperlink ref="K79" r:id="rId8" xr:uid="{9B2B0AA6-F770-414D-AF46-0645EF1EE672}"/>
    <hyperlink ref="K80" r:id="rId9" xr:uid="{A8107714-C485-48AF-84E8-286FD2CDF679}"/>
    <hyperlink ref="K83" r:id="rId10" xr:uid="{7551AC0F-4513-453D-9C29-443C78D6770F}"/>
    <hyperlink ref="K82" r:id="rId11" xr:uid="{1BF72978-BE19-41EE-B0B2-554DBB3B103E}"/>
    <hyperlink ref="K81" r:id="rId12" xr:uid="{38EE4D5E-D7F7-41D5-B687-391D6BFEB519}"/>
    <hyperlink ref="K84" r:id="rId13" xr:uid="{695E56C1-8D96-463D-AFF5-5D36471614E4}"/>
    <hyperlink ref="K85" r:id="rId14" xr:uid="{92C462A3-D7A6-43E5-B3FC-6A48BB1EE59E}"/>
    <hyperlink ref="K86" r:id="rId15" xr:uid="{1C41D326-FC38-4043-94D2-95AEA9BF4235}"/>
    <hyperlink ref="K87" r:id="rId16" xr:uid="{ADDD0B46-A1F0-4EAA-B122-F5615B69380F}"/>
    <hyperlink ref="K89" r:id="rId17" xr:uid="{2B9FC12F-0460-4033-991F-195FD965550D}"/>
    <hyperlink ref="K90" r:id="rId18" display="https://fptsoftware362.sharepoint.com/:x:/r/sites/FSO.DataStorage.Pay/FSO.FSA/Shared%20Documents/FSA/1.%20Learning%20Solutions%20(LS)/9.%20LS%20Programs/UpSkill_Reskill%20Program%20for%20Delivery/2025/1.%20Senior%20Technical%20Training%20Materials/Cloud_Azure_AI900_Fundamental_2025/Cloud_Azure_AI900_Fundamental_Syllabus_v1.0.xlsx?d=wdd8c59f877b64f20989fbfa89ab9e49a&amp;csf=1&amp;web=1&amp;e=OhNTNC" xr:uid="{2AC0E221-DC41-439E-8E43-7611BE69AC85}"/>
    <hyperlink ref="K91" r:id="rId19" display="https://fptsoftware362.sharepoint.com/:x:/r/sites/FSO.DataStorage.Pay/FSO.FSA/Shared%20Documents/FSA/1.%20Learning%20Solutions%20(LS)/9.%20LS%20Programs/UpSkill_Reskill%20Program%20for%20Delivery/2025/1.%20Senior%20Technical%20Training%20Materials/Cloud_Azure_AI102_Associate_2025/Cloud_Azure_AI102_Associate_Syllabus_v1.1.xlsx?d=w61246abeac524ef0b4fb7bce54a52753&amp;csf=1&amp;web=1&amp;e=Xt3yFo" xr:uid="{248DB1D9-9EF1-406D-8E2C-546E52EADC2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C4FB-F194-4946-B953-248E964DA0D2}">
  <dimension ref="A1:K103"/>
  <sheetViews>
    <sheetView workbookViewId="0">
      <pane ySplit="1" topLeftCell="A87" activePane="bottomLeft" state="frozen"/>
      <selection pane="bottomLeft" activeCell="E101" sqref="E101"/>
    </sheetView>
  </sheetViews>
  <sheetFormatPr defaultRowHeight="15"/>
  <cols>
    <col min="1" max="1" width="7.7109375" customWidth="1"/>
    <col min="2" max="2" width="24" customWidth="1"/>
    <col min="3" max="3" width="14.7109375" customWidth="1"/>
    <col min="4" max="4" width="9.140625" style="98"/>
    <col min="5" max="5" width="45.5703125" customWidth="1"/>
    <col min="6" max="6" width="73.140625" customWidth="1"/>
    <col min="7" max="7" width="13.7109375" customWidth="1"/>
    <col min="8" max="8" width="10.140625" customWidth="1"/>
    <col min="9" max="9" width="13" customWidth="1"/>
    <col min="11" max="11" width="56.42578125" customWidth="1"/>
  </cols>
  <sheetData>
    <row r="1" spans="1:11" ht="33.75" customHeight="1">
      <c r="A1" s="267" t="s">
        <v>74</v>
      </c>
      <c r="B1" s="267"/>
      <c r="C1" s="55" t="s">
        <v>5</v>
      </c>
      <c r="D1" s="12" t="s">
        <v>75</v>
      </c>
      <c r="E1" s="12" t="s">
        <v>76</v>
      </c>
      <c r="F1" s="13" t="s">
        <v>77</v>
      </c>
      <c r="G1" s="13" t="s">
        <v>78</v>
      </c>
      <c r="H1" s="13" t="s">
        <v>79</v>
      </c>
      <c r="I1" s="13" t="s">
        <v>80</v>
      </c>
      <c r="J1" s="13" t="s">
        <v>81</v>
      </c>
      <c r="K1" s="13" t="s">
        <v>82</v>
      </c>
    </row>
    <row r="2" spans="1:11" ht="43.5">
      <c r="A2" s="259">
        <v>1</v>
      </c>
      <c r="B2" s="293" t="s">
        <v>11</v>
      </c>
      <c r="C2" s="254" t="b">
        <v>1</v>
      </c>
      <c r="D2" s="295">
        <v>1</v>
      </c>
      <c r="E2" s="90" t="s">
        <v>220</v>
      </c>
      <c r="F2" s="61" t="s">
        <v>221</v>
      </c>
      <c r="G2" s="64" t="s">
        <v>85</v>
      </c>
      <c r="H2" s="120">
        <v>1</v>
      </c>
      <c r="I2" s="82"/>
      <c r="J2" s="87"/>
      <c r="K2" s="62"/>
    </row>
    <row r="3" spans="1:11">
      <c r="A3" s="260"/>
      <c r="B3" s="294"/>
      <c r="C3" s="255"/>
      <c r="D3" s="296"/>
      <c r="E3" s="61" t="s">
        <v>86</v>
      </c>
      <c r="F3" s="61"/>
      <c r="G3" s="64" t="s">
        <v>87</v>
      </c>
      <c r="H3" s="120">
        <v>0.5</v>
      </c>
      <c r="I3" s="82"/>
      <c r="J3" s="87"/>
      <c r="K3" s="62"/>
    </row>
    <row r="4" spans="1:11" ht="43.5">
      <c r="A4" s="260"/>
      <c r="B4" s="294"/>
      <c r="C4" s="255"/>
      <c r="D4" s="295">
        <v>2</v>
      </c>
      <c r="E4" s="90" t="s">
        <v>222</v>
      </c>
      <c r="F4" s="61" t="s">
        <v>223</v>
      </c>
      <c r="G4" s="64" t="s">
        <v>85</v>
      </c>
      <c r="H4" s="120">
        <v>1</v>
      </c>
      <c r="I4" s="82"/>
      <c r="J4" s="87"/>
      <c r="K4" s="62"/>
    </row>
    <row r="5" spans="1:11">
      <c r="A5" s="260"/>
      <c r="B5" s="294"/>
      <c r="C5" s="255"/>
      <c r="D5" s="296"/>
      <c r="E5" s="61" t="s">
        <v>86</v>
      </c>
      <c r="F5" s="61"/>
      <c r="G5" s="64" t="s">
        <v>87</v>
      </c>
      <c r="H5" s="120">
        <v>0.5</v>
      </c>
      <c r="I5" s="82"/>
      <c r="J5" s="87"/>
      <c r="K5" s="62"/>
    </row>
    <row r="6" spans="1:11" ht="43.5">
      <c r="A6" s="260"/>
      <c r="B6" s="294"/>
      <c r="C6" s="255"/>
      <c r="D6" s="295">
        <v>3</v>
      </c>
      <c r="E6" s="90" t="s">
        <v>224</v>
      </c>
      <c r="F6" s="61" t="s">
        <v>225</v>
      </c>
      <c r="G6" s="64" t="s">
        <v>85</v>
      </c>
      <c r="H6" s="120">
        <v>1</v>
      </c>
      <c r="I6" s="82"/>
      <c r="J6" s="87"/>
      <c r="K6" s="62"/>
    </row>
    <row r="7" spans="1:11">
      <c r="A7" s="260"/>
      <c r="B7" s="294"/>
      <c r="C7" s="255"/>
      <c r="D7" s="296"/>
      <c r="E7" s="61" t="s">
        <v>86</v>
      </c>
      <c r="F7" s="61"/>
      <c r="G7" s="64" t="s">
        <v>87</v>
      </c>
      <c r="H7" s="120">
        <v>0.5</v>
      </c>
      <c r="I7" s="82"/>
      <c r="J7" s="87"/>
      <c r="K7" s="62"/>
    </row>
    <row r="8" spans="1:11" ht="43.5">
      <c r="A8" s="260"/>
      <c r="B8" s="294"/>
      <c r="C8" s="255"/>
      <c r="D8" s="295">
        <v>4</v>
      </c>
      <c r="E8" s="91" t="s">
        <v>226</v>
      </c>
      <c r="F8" s="61" t="s">
        <v>227</v>
      </c>
      <c r="G8" s="64" t="s">
        <v>85</v>
      </c>
      <c r="H8" s="120">
        <v>1</v>
      </c>
      <c r="I8" s="82"/>
      <c r="J8" s="87"/>
      <c r="K8" s="62"/>
    </row>
    <row r="9" spans="1:11">
      <c r="A9" s="260"/>
      <c r="B9" s="294"/>
      <c r="C9" s="255"/>
      <c r="D9" s="296"/>
      <c r="E9" s="61" t="s">
        <v>86</v>
      </c>
      <c r="F9" s="61"/>
      <c r="G9" s="64" t="s">
        <v>87</v>
      </c>
      <c r="H9" s="120">
        <v>0.5</v>
      </c>
      <c r="I9" s="82"/>
      <c r="J9" s="87"/>
      <c r="K9" s="62"/>
    </row>
    <row r="10" spans="1:11" ht="29.25">
      <c r="A10" s="260"/>
      <c r="B10" s="294"/>
      <c r="C10" s="255"/>
      <c r="D10" s="295">
        <v>5</v>
      </c>
      <c r="E10" s="91" t="s">
        <v>228</v>
      </c>
      <c r="F10" s="61" t="s">
        <v>229</v>
      </c>
      <c r="G10" s="64" t="s">
        <v>85</v>
      </c>
      <c r="H10" s="120">
        <v>1</v>
      </c>
      <c r="I10" s="82"/>
      <c r="J10" s="87"/>
      <c r="K10" s="62"/>
    </row>
    <row r="11" spans="1:11">
      <c r="A11" s="260"/>
      <c r="B11" s="294"/>
      <c r="C11" s="255"/>
      <c r="D11" s="296"/>
      <c r="E11" s="61" t="s">
        <v>86</v>
      </c>
      <c r="F11" s="61"/>
      <c r="G11" s="64" t="s">
        <v>87</v>
      </c>
      <c r="H11" s="120">
        <v>0.5</v>
      </c>
      <c r="I11" s="82"/>
      <c r="J11" s="87"/>
      <c r="K11" s="62"/>
    </row>
    <row r="12" spans="1:11" ht="43.5">
      <c r="A12" s="260"/>
      <c r="B12" s="294"/>
      <c r="C12" s="255"/>
      <c r="D12" s="295">
        <v>6</v>
      </c>
      <c r="E12" s="91" t="s">
        <v>230</v>
      </c>
      <c r="F12" s="61" t="s">
        <v>231</v>
      </c>
      <c r="G12" s="64" t="s">
        <v>85</v>
      </c>
      <c r="H12" s="120">
        <v>1</v>
      </c>
      <c r="I12" s="82"/>
      <c r="J12" s="87"/>
      <c r="K12" s="62"/>
    </row>
    <row r="13" spans="1:11">
      <c r="A13" s="260"/>
      <c r="B13" s="294"/>
      <c r="C13" s="255"/>
      <c r="D13" s="296"/>
      <c r="E13" s="61" t="s">
        <v>86</v>
      </c>
      <c r="F13" s="61"/>
      <c r="G13" s="64" t="s">
        <v>87</v>
      </c>
      <c r="H13" s="120">
        <v>0.5</v>
      </c>
      <c r="I13" s="82"/>
      <c r="J13" s="87"/>
      <c r="K13" s="62"/>
    </row>
    <row r="14" spans="1:11" ht="43.5">
      <c r="A14" s="260"/>
      <c r="B14" s="294"/>
      <c r="C14" s="255"/>
      <c r="D14" s="295">
        <v>7</v>
      </c>
      <c r="E14" s="91" t="s">
        <v>232</v>
      </c>
      <c r="F14" s="61" t="s">
        <v>233</v>
      </c>
      <c r="G14" s="64" t="s">
        <v>85</v>
      </c>
      <c r="H14" s="120">
        <v>1</v>
      </c>
      <c r="I14" s="82"/>
      <c r="J14" s="87"/>
      <c r="K14" s="62"/>
    </row>
    <row r="15" spans="1:11">
      <c r="A15" s="268"/>
      <c r="B15" s="294"/>
      <c r="C15" s="255"/>
      <c r="D15" s="297"/>
      <c r="E15" s="61" t="s">
        <v>86</v>
      </c>
      <c r="F15" s="61"/>
      <c r="G15" s="64" t="s">
        <v>87</v>
      </c>
      <c r="H15" s="120">
        <v>0.5</v>
      </c>
      <c r="I15" s="82"/>
      <c r="J15" s="87"/>
      <c r="K15" s="62"/>
    </row>
    <row r="16" spans="1:11" ht="29.25">
      <c r="A16" s="284">
        <v>2</v>
      </c>
      <c r="B16" s="277" t="s">
        <v>234</v>
      </c>
      <c r="C16" s="257" t="b">
        <v>1</v>
      </c>
      <c r="D16" s="282">
        <v>1</v>
      </c>
      <c r="E16" s="93" t="s">
        <v>235</v>
      </c>
      <c r="F16" s="61" t="s">
        <v>236</v>
      </c>
      <c r="G16" s="64" t="s">
        <v>85</v>
      </c>
      <c r="H16" s="120">
        <v>1</v>
      </c>
      <c r="I16" s="82"/>
      <c r="J16" s="87"/>
      <c r="K16" s="62"/>
    </row>
    <row r="17" spans="1:11">
      <c r="A17" s="285"/>
      <c r="B17" s="277"/>
      <c r="C17" s="257"/>
      <c r="D17" s="282"/>
      <c r="E17" s="71" t="s">
        <v>86</v>
      </c>
      <c r="F17" s="61"/>
      <c r="G17" s="64" t="s">
        <v>87</v>
      </c>
      <c r="H17" s="120">
        <v>0.5</v>
      </c>
      <c r="I17" s="82"/>
      <c r="J17" s="87"/>
      <c r="K17" s="62"/>
    </row>
    <row r="18" spans="1:11" ht="43.5">
      <c r="A18" s="285"/>
      <c r="B18" s="277"/>
      <c r="C18" s="257"/>
      <c r="D18" s="282">
        <v>2</v>
      </c>
      <c r="E18" s="93" t="s">
        <v>237</v>
      </c>
      <c r="F18" s="61" t="s">
        <v>238</v>
      </c>
      <c r="G18" s="64" t="s">
        <v>85</v>
      </c>
      <c r="H18" s="120">
        <v>1</v>
      </c>
      <c r="I18" s="82"/>
      <c r="J18" s="87"/>
      <c r="K18" s="62"/>
    </row>
    <row r="19" spans="1:11">
      <c r="A19" s="285"/>
      <c r="B19" s="277"/>
      <c r="C19" s="257"/>
      <c r="D19" s="282"/>
      <c r="E19" s="71" t="s">
        <v>86</v>
      </c>
      <c r="F19" s="61"/>
      <c r="G19" s="64" t="s">
        <v>87</v>
      </c>
      <c r="H19" s="120">
        <v>0.5</v>
      </c>
      <c r="I19" s="82"/>
      <c r="J19" s="87"/>
      <c r="K19" s="62"/>
    </row>
    <row r="20" spans="1:11" ht="43.5">
      <c r="A20" s="285"/>
      <c r="B20" s="277"/>
      <c r="C20" s="257"/>
      <c r="D20" s="282">
        <v>3</v>
      </c>
      <c r="E20" s="93" t="s">
        <v>239</v>
      </c>
      <c r="F20" s="61" t="s">
        <v>240</v>
      </c>
      <c r="G20" s="64" t="s">
        <v>85</v>
      </c>
      <c r="H20" s="120">
        <v>1</v>
      </c>
      <c r="I20" s="82"/>
      <c r="J20" s="87"/>
      <c r="K20" s="62"/>
    </row>
    <row r="21" spans="1:11">
      <c r="A21" s="285"/>
      <c r="B21" s="277"/>
      <c r="C21" s="257"/>
      <c r="D21" s="282"/>
      <c r="E21" s="71" t="s">
        <v>86</v>
      </c>
      <c r="F21" s="61"/>
      <c r="G21" s="64" t="s">
        <v>87</v>
      </c>
      <c r="H21" s="120">
        <v>0.5</v>
      </c>
      <c r="I21" s="82"/>
      <c r="J21" s="87"/>
      <c r="K21" s="62"/>
    </row>
    <row r="22" spans="1:11" ht="29.25">
      <c r="A22" s="285"/>
      <c r="B22" s="277"/>
      <c r="C22" s="257"/>
      <c r="D22" s="282">
        <v>4</v>
      </c>
      <c r="E22" s="93" t="s">
        <v>241</v>
      </c>
      <c r="F22" s="61" t="s">
        <v>242</v>
      </c>
      <c r="G22" s="64" t="s">
        <v>85</v>
      </c>
      <c r="H22" s="120">
        <v>1</v>
      </c>
      <c r="I22" s="82"/>
      <c r="J22" s="87"/>
      <c r="K22" s="62"/>
    </row>
    <row r="23" spans="1:11">
      <c r="A23" s="285"/>
      <c r="B23" s="277"/>
      <c r="C23" s="257"/>
      <c r="D23" s="282"/>
      <c r="E23" s="71" t="s">
        <v>86</v>
      </c>
      <c r="F23" s="61"/>
      <c r="G23" s="64" t="s">
        <v>87</v>
      </c>
      <c r="H23" s="120">
        <v>0.5</v>
      </c>
      <c r="I23" s="82"/>
      <c r="J23" s="87"/>
      <c r="K23" s="62"/>
    </row>
    <row r="24" spans="1:11" ht="43.5">
      <c r="A24" s="285"/>
      <c r="B24" s="277"/>
      <c r="C24" s="257"/>
      <c r="D24" s="282">
        <v>5</v>
      </c>
      <c r="E24" s="93" t="s">
        <v>243</v>
      </c>
      <c r="F24" s="61" t="s">
        <v>244</v>
      </c>
      <c r="G24" s="64" t="s">
        <v>85</v>
      </c>
      <c r="H24" s="120">
        <v>1</v>
      </c>
      <c r="I24" s="82"/>
      <c r="J24" s="87"/>
      <c r="K24" s="62"/>
    </row>
    <row r="25" spans="1:11">
      <c r="A25" s="285"/>
      <c r="B25" s="277"/>
      <c r="C25" s="257"/>
      <c r="D25" s="282"/>
      <c r="E25" s="71" t="s">
        <v>86</v>
      </c>
      <c r="F25" s="61"/>
      <c r="G25" s="64" t="s">
        <v>87</v>
      </c>
      <c r="H25" s="120">
        <v>0.5</v>
      </c>
      <c r="I25" s="82"/>
      <c r="J25" s="87"/>
      <c r="K25" s="62"/>
    </row>
    <row r="26" spans="1:11" ht="29.25">
      <c r="A26" s="285"/>
      <c r="B26" s="277"/>
      <c r="C26" s="257"/>
      <c r="D26" s="282">
        <v>6</v>
      </c>
      <c r="E26" s="93" t="s">
        <v>245</v>
      </c>
      <c r="F26" s="61" t="s">
        <v>246</v>
      </c>
      <c r="G26" s="64" t="s">
        <v>85</v>
      </c>
      <c r="H26" s="120">
        <v>1</v>
      </c>
      <c r="I26" s="82"/>
      <c r="J26" s="87"/>
      <c r="K26" s="62"/>
    </row>
    <row r="27" spans="1:11">
      <c r="A27" s="285"/>
      <c r="B27" s="277"/>
      <c r="C27" s="257"/>
      <c r="D27" s="282"/>
      <c r="E27" s="71" t="s">
        <v>86</v>
      </c>
      <c r="F27" s="61"/>
      <c r="G27" s="64" t="s">
        <v>87</v>
      </c>
      <c r="H27" s="120">
        <v>0.5</v>
      </c>
      <c r="I27" s="82"/>
      <c r="J27" s="87"/>
      <c r="K27" s="62"/>
    </row>
    <row r="28" spans="1:11" ht="43.5">
      <c r="A28" s="285"/>
      <c r="B28" s="277"/>
      <c r="C28" s="257"/>
      <c r="D28" s="282">
        <v>7</v>
      </c>
      <c r="E28" s="92" t="s">
        <v>247</v>
      </c>
      <c r="F28" s="61" t="s">
        <v>248</v>
      </c>
      <c r="G28" s="64" t="s">
        <v>85</v>
      </c>
      <c r="H28" s="120">
        <v>1</v>
      </c>
      <c r="I28" s="82"/>
      <c r="J28" s="87"/>
      <c r="K28" s="62"/>
    </row>
    <row r="29" spans="1:11">
      <c r="A29" s="286"/>
      <c r="B29" s="277"/>
      <c r="C29" s="257"/>
      <c r="D29" s="282"/>
      <c r="E29" s="71" t="s">
        <v>86</v>
      </c>
      <c r="F29" s="61"/>
      <c r="G29" s="64" t="s">
        <v>87</v>
      </c>
      <c r="H29" s="120">
        <v>0.5</v>
      </c>
      <c r="I29" s="82"/>
      <c r="J29" s="87"/>
      <c r="K29" s="62"/>
    </row>
    <row r="30" spans="1:11" ht="29.25">
      <c r="A30" s="284">
        <v>3</v>
      </c>
      <c r="B30" s="277" t="s">
        <v>115</v>
      </c>
      <c r="C30" s="257" t="b">
        <v>1</v>
      </c>
      <c r="D30" s="282">
        <v>1</v>
      </c>
      <c r="E30" s="92" t="s">
        <v>249</v>
      </c>
      <c r="F30" s="61" t="s">
        <v>250</v>
      </c>
      <c r="G30" s="64" t="s">
        <v>85</v>
      </c>
      <c r="H30" s="120">
        <v>1</v>
      </c>
      <c r="I30" s="82"/>
      <c r="J30" s="87"/>
      <c r="K30" s="62"/>
    </row>
    <row r="31" spans="1:11">
      <c r="A31" s="285"/>
      <c r="B31" s="277"/>
      <c r="C31" s="257"/>
      <c r="D31" s="282"/>
      <c r="E31" s="71" t="s">
        <v>86</v>
      </c>
      <c r="F31" s="61"/>
      <c r="G31" s="64" t="s">
        <v>87</v>
      </c>
      <c r="H31" s="120">
        <v>0.5</v>
      </c>
      <c r="I31" s="82"/>
      <c r="J31" s="87"/>
      <c r="K31" s="62"/>
    </row>
    <row r="32" spans="1:11" ht="29.25">
      <c r="A32" s="285"/>
      <c r="B32" s="277"/>
      <c r="C32" s="257"/>
      <c r="D32" s="282">
        <v>2</v>
      </c>
      <c r="E32" s="92" t="s">
        <v>251</v>
      </c>
      <c r="F32" s="61" t="s">
        <v>252</v>
      </c>
      <c r="G32" s="64" t="s">
        <v>85</v>
      </c>
      <c r="H32" s="120">
        <v>1</v>
      </c>
      <c r="I32" s="82"/>
      <c r="J32" s="87"/>
      <c r="K32" s="62"/>
    </row>
    <row r="33" spans="1:11">
      <c r="A33" s="285"/>
      <c r="B33" s="277"/>
      <c r="C33" s="257"/>
      <c r="D33" s="282"/>
      <c r="E33" s="71" t="s">
        <v>86</v>
      </c>
      <c r="F33" s="61"/>
      <c r="G33" s="64" t="s">
        <v>87</v>
      </c>
      <c r="H33" s="120">
        <v>0.5</v>
      </c>
      <c r="I33" s="82"/>
      <c r="J33" s="87"/>
      <c r="K33" s="62"/>
    </row>
    <row r="34" spans="1:11" ht="29.25">
      <c r="A34" s="285"/>
      <c r="B34" s="277"/>
      <c r="C34" s="257"/>
      <c r="D34" s="282">
        <v>3</v>
      </c>
      <c r="E34" s="93" t="s">
        <v>253</v>
      </c>
      <c r="F34" s="61" t="s">
        <v>254</v>
      </c>
      <c r="G34" s="64" t="s">
        <v>85</v>
      </c>
      <c r="H34" s="120">
        <v>1</v>
      </c>
      <c r="I34" s="82"/>
      <c r="J34" s="87"/>
      <c r="K34" s="62"/>
    </row>
    <row r="35" spans="1:11">
      <c r="A35" s="285"/>
      <c r="B35" s="277"/>
      <c r="C35" s="257"/>
      <c r="D35" s="282"/>
      <c r="E35" s="71" t="s">
        <v>86</v>
      </c>
      <c r="F35" s="61"/>
      <c r="G35" s="64" t="s">
        <v>87</v>
      </c>
      <c r="H35" s="120">
        <v>0.5</v>
      </c>
      <c r="I35" s="82"/>
      <c r="J35" s="87"/>
      <c r="K35" s="62"/>
    </row>
    <row r="36" spans="1:11" ht="43.5">
      <c r="A36" s="285"/>
      <c r="B36" s="277"/>
      <c r="C36" s="257"/>
      <c r="D36" s="282">
        <v>4</v>
      </c>
      <c r="E36" s="92" t="s">
        <v>255</v>
      </c>
      <c r="F36" s="61" t="s">
        <v>256</v>
      </c>
      <c r="G36" s="64" t="s">
        <v>85</v>
      </c>
      <c r="H36" s="120">
        <v>1</v>
      </c>
      <c r="I36" s="82"/>
      <c r="J36" s="87"/>
      <c r="K36" s="62"/>
    </row>
    <row r="37" spans="1:11">
      <c r="A37" s="285"/>
      <c r="B37" s="277"/>
      <c r="C37" s="257"/>
      <c r="D37" s="282"/>
      <c r="E37" s="71" t="s">
        <v>86</v>
      </c>
      <c r="F37" s="61"/>
      <c r="G37" s="64" t="s">
        <v>87</v>
      </c>
      <c r="H37" s="120">
        <v>0.5</v>
      </c>
      <c r="I37" s="82"/>
      <c r="J37" s="87"/>
      <c r="K37" s="62"/>
    </row>
    <row r="38" spans="1:11" ht="43.5">
      <c r="A38" s="285"/>
      <c r="B38" s="277"/>
      <c r="C38" s="257"/>
      <c r="D38" s="282">
        <v>5</v>
      </c>
      <c r="E38" s="93" t="s">
        <v>257</v>
      </c>
      <c r="F38" s="61" t="s">
        <v>258</v>
      </c>
      <c r="G38" s="64" t="s">
        <v>85</v>
      </c>
      <c r="H38" s="120">
        <v>1</v>
      </c>
      <c r="I38" s="82"/>
      <c r="J38" s="87"/>
      <c r="K38" s="62"/>
    </row>
    <row r="39" spans="1:11">
      <c r="A39" s="285"/>
      <c r="B39" s="277"/>
      <c r="C39" s="257"/>
      <c r="D39" s="282"/>
      <c r="E39" s="71" t="s">
        <v>86</v>
      </c>
      <c r="F39" s="61"/>
      <c r="G39" s="64" t="s">
        <v>87</v>
      </c>
      <c r="H39" s="120">
        <v>0.5</v>
      </c>
      <c r="I39" s="82"/>
      <c r="J39" s="87"/>
      <c r="K39" s="62"/>
    </row>
    <row r="40" spans="1:11" ht="43.5">
      <c r="A40" s="285"/>
      <c r="B40" s="277"/>
      <c r="C40" s="257"/>
      <c r="D40" s="282">
        <v>6</v>
      </c>
      <c r="E40" s="93" t="s">
        <v>259</v>
      </c>
      <c r="F40" s="61" t="s">
        <v>260</v>
      </c>
      <c r="G40" s="64" t="s">
        <v>85</v>
      </c>
      <c r="H40" s="120">
        <v>1</v>
      </c>
      <c r="I40" s="82"/>
      <c r="J40" s="87"/>
      <c r="K40" s="62"/>
    </row>
    <row r="41" spans="1:11">
      <c r="A41" s="285"/>
      <c r="B41" s="277"/>
      <c r="C41" s="257"/>
      <c r="D41" s="282"/>
      <c r="E41" s="71" t="s">
        <v>86</v>
      </c>
      <c r="F41" s="61"/>
      <c r="G41" s="64" t="s">
        <v>87</v>
      </c>
      <c r="H41" s="120">
        <v>0.5</v>
      </c>
      <c r="I41" s="82"/>
      <c r="J41" s="87"/>
      <c r="K41" s="62"/>
    </row>
    <row r="42" spans="1:11" ht="43.5">
      <c r="A42" s="285"/>
      <c r="B42" s="277"/>
      <c r="C42" s="257"/>
      <c r="D42" s="282">
        <v>7</v>
      </c>
      <c r="E42" s="93" t="s">
        <v>261</v>
      </c>
      <c r="F42" s="61" t="s">
        <v>262</v>
      </c>
      <c r="G42" s="64" t="s">
        <v>85</v>
      </c>
      <c r="H42" s="120">
        <v>1</v>
      </c>
      <c r="I42" s="82"/>
      <c r="J42" s="87"/>
      <c r="K42" s="62"/>
    </row>
    <row r="43" spans="1:11">
      <c r="A43" s="286"/>
      <c r="B43" s="277"/>
      <c r="C43" s="257"/>
      <c r="D43" s="282"/>
      <c r="E43" s="71" t="s">
        <v>86</v>
      </c>
      <c r="F43" s="61"/>
      <c r="G43" s="64" t="s">
        <v>87</v>
      </c>
      <c r="H43" s="120">
        <v>0.5</v>
      </c>
      <c r="I43" s="82"/>
      <c r="J43" s="87"/>
      <c r="K43" s="62"/>
    </row>
    <row r="44" spans="1:11" ht="72.75">
      <c r="A44" s="284"/>
      <c r="B44" s="287" t="s">
        <v>127</v>
      </c>
      <c r="C44" s="256" t="b">
        <v>1</v>
      </c>
      <c r="D44" s="288">
        <v>1</v>
      </c>
      <c r="E44" s="92" t="s">
        <v>263</v>
      </c>
      <c r="F44" s="61" t="s">
        <v>264</v>
      </c>
      <c r="G44" s="64" t="s">
        <v>85</v>
      </c>
      <c r="H44" s="74">
        <v>2</v>
      </c>
      <c r="I44" s="82"/>
      <c r="J44" s="87"/>
      <c r="K44" s="62"/>
    </row>
    <row r="45" spans="1:11">
      <c r="A45" s="285"/>
      <c r="B45" s="277"/>
      <c r="C45" s="257"/>
      <c r="D45" s="289"/>
      <c r="E45" s="71" t="s">
        <v>86</v>
      </c>
      <c r="F45" s="61"/>
      <c r="G45" s="64" t="s">
        <v>87</v>
      </c>
      <c r="H45" s="74">
        <v>1</v>
      </c>
      <c r="I45" s="82"/>
      <c r="J45" s="87"/>
      <c r="K45" s="62"/>
    </row>
    <row r="46" spans="1:11" ht="72.75">
      <c r="A46" s="285"/>
      <c r="B46" s="277"/>
      <c r="C46" s="257"/>
      <c r="D46" s="290">
        <v>2</v>
      </c>
      <c r="E46" s="92" t="s">
        <v>265</v>
      </c>
      <c r="F46" s="61" t="s">
        <v>266</v>
      </c>
      <c r="G46" s="64" t="s">
        <v>85</v>
      </c>
      <c r="H46" s="74">
        <v>2</v>
      </c>
      <c r="I46" s="82"/>
      <c r="J46" s="87"/>
      <c r="K46" s="62"/>
    </row>
    <row r="47" spans="1:11">
      <c r="A47" s="285"/>
      <c r="B47" s="277"/>
      <c r="C47" s="257"/>
      <c r="D47" s="289"/>
      <c r="E47" s="71" t="s">
        <v>86</v>
      </c>
      <c r="F47" s="61"/>
      <c r="G47" s="64" t="s">
        <v>87</v>
      </c>
      <c r="H47" s="74">
        <v>1</v>
      </c>
      <c r="I47" s="82"/>
      <c r="J47" s="87"/>
      <c r="K47" s="62"/>
    </row>
    <row r="48" spans="1:11" ht="87">
      <c r="A48" s="285"/>
      <c r="B48" s="277"/>
      <c r="C48" s="257"/>
      <c r="D48" s="290">
        <v>3</v>
      </c>
      <c r="E48" s="92" t="s">
        <v>267</v>
      </c>
      <c r="F48" s="61" t="s">
        <v>268</v>
      </c>
      <c r="G48" s="64" t="s">
        <v>85</v>
      </c>
      <c r="H48" s="74">
        <v>2</v>
      </c>
      <c r="I48" s="82"/>
      <c r="J48" s="87"/>
      <c r="K48" s="62"/>
    </row>
    <row r="49" spans="1:11">
      <c r="A49" s="285"/>
      <c r="B49" s="277"/>
      <c r="C49" s="257"/>
      <c r="D49" s="289"/>
      <c r="E49" s="71" t="s">
        <v>86</v>
      </c>
      <c r="F49" s="61"/>
      <c r="G49" s="64" t="s">
        <v>87</v>
      </c>
      <c r="H49" s="74">
        <v>1</v>
      </c>
      <c r="I49" s="82"/>
      <c r="J49" s="87"/>
      <c r="K49" s="62"/>
    </row>
    <row r="50" spans="1:11" ht="72.75">
      <c r="A50" s="285"/>
      <c r="B50" s="277"/>
      <c r="C50" s="257"/>
      <c r="D50" s="290">
        <v>4</v>
      </c>
      <c r="E50" s="94" t="s">
        <v>269</v>
      </c>
      <c r="F50" s="61" t="s">
        <v>270</v>
      </c>
      <c r="G50" s="64" t="s">
        <v>85</v>
      </c>
      <c r="H50" s="74">
        <v>2</v>
      </c>
      <c r="I50" s="82"/>
      <c r="J50" s="87"/>
      <c r="K50" s="62"/>
    </row>
    <row r="51" spans="1:11">
      <c r="A51" s="285"/>
      <c r="B51" s="277"/>
      <c r="C51" s="257"/>
      <c r="D51" s="289"/>
      <c r="E51" s="71" t="s">
        <v>86</v>
      </c>
      <c r="F51" s="61"/>
      <c r="G51" s="64" t="s">
        <v>87</v>
      </c>
      <c r="H51" s="74">
        <v>1</v>
      </c>
      <c r="I51" s="82"/>
      <c r="J51" s="87"/>
      <c r="K51" s="62"/>
    </row>
    <row r="52" spans="1:11" ht="43.5" customHeight="1">
      <c r="A52" s="285"/>
      <c r="B52" s="277"/>
      <c r="C52" s="257"/>
      <c r="D52" s="290">
        <v>5</v>
      </c>
      <c r="E52" s="92" t="s">
        <v>271</v>
      </c>
      <c r="F52" s="61" t="s">
        <v>272</v>
      </c>
      <c r="G52" s="64" t="s">
        <v>85</v>
      </c>
      <c r="H52" s="74">
        <v>2</v>
      </c>
      <c r="I52" s="82"/>
      <c r="J52" s="87"/>
      <c r="K52" s="62"/>
    </row>
    <row r="53" spans="1:11">
      <c r="A53" s="285"/>
      <c r="B53" s="277"/>
      <c r="C53" s="257"/>
      <c r="D53" s="289"/>
      <c r="E53" s="71" t="s">
        <v>86</v>
      </c>
      <c r="F53" s="61"/>
      <c r="G53" s="64" t="s">
        <v>87</v>
      </c>
      <c r="H53" s="74">
        <v>1</v>
      </c>
      <c r="I53" s="82"/>
      <c r="J53" s="87"/>
      <c r="K53" s="62"/>
    </row>
    <row r="54" spans="1:11" ht="57.75">
      <c r="A54" s="285"/>
      <c r="B54" s="277"/>
      <c r="C54" s="257"/>
      <c r="D54" s="290">
        <v>6</v>
      </c>
      <c r="E54" s="94" t="s">
        <v>273</v>
      </c>
      <c r="F54" s="61" t="s">
        <v>274</v>
      </c>
      <c r="G54" s="64" t="s">
        <v>85</v>
      </c>
      <c r="H54" s="74">
        <v>2</v>
      </c>
      <c r="I54" s="82"/>
      <c r="J54" s="87"/>
      <c r="K54" s="62"/>
    </row>
    <row r="55" spans="1:11">
      <c r="A55" s="285"/>
      <c r="B55" s="277"/>
      <c r="C55" s="257"/>
      <c r="D55" s="289"/>
      <c r="E55" s="71" t="s">
        <v>86</v>
      </c>
      <c r="F55" s="61"/>
      <c r="G55" s="64" t="s">
        <v>87</v>
      </c>
      <c r="H55" s="74">
        <v>1</v>
      </c>
      <c r="I55" s="82"/>
      <c r="J55" s="87"/>
      <c r="K55" s="62"/>
    </row>
    <row r="56" spans="1:11" ht="87">
      <c r="A56" s="285"/>
      <c r="B56" s="277"/>
      <c r="C56" s="257"/>
      <c r="D56" s="283">
        <v>7</v>
      </c>
      <c r="E56" s="94" t="s">
        <v>275</v>
      </c>
      <c r="F56" s="95" t="s">
        <v>276</v>
      </c>
      <c r="G56" s="64" t="s">
        <v>85</v>
      </c>
      <c r="H56" s="74">
        <v>2</v>
      </c>
      <c r="I56" s="82"/>
      <c r="J56" s="87"/>
      <c r="K56" s="62"/>
    </row>
    <row r="57" spans="1:11">
      <c r="A57" s="285"/>
      <c r="B57" s="277"/>
      <c r="C57" s="257"/>
      <c r="D57" s="283"/>
      <c r="E57" s="71" t="s">
        <v>86</v>
      </c>
      <c r="F57" s="61"/>
      <c r="G57" s="64" t="s">
        <v>87</v>
      </c>
      <c r="H57" s="74">
        <v>1</v>
      </c>
      <c r="I57" s="82"/>
      <c r="J57" s="87"/>
      <c r="K57" s="62"/>
    </row>
    <row r="58" spans="1:11" ht="43.5">
      <c r="A58" s="285"/>
      <c r="B58" s="277" t="s">
        <v>146</v>
      </c>
      <c r="C58" s="257" t="b">
        <v>1</v>
      </c>
      <c r="D58" s="283">
        <v>1</v>
      </c>
      <c r="E58" s="96" t="s">
        <v>277</v>
      </c>
      <c r="F58" s="97" t="s">
        <v>278</v>
      </c>
      <c r="G58" s="64" t="s">
        <v>85</v>
      </c>
      <c r="H58" s="74">
        <v>2</v>
      </c>
      <c r="I58" s="82"/>
      <c r="J58" s="87"/>
      <c r="K58" s="62"/>
    </row>
    <row r="59" spans="1:11">
      <c r="A59" s="285"/>
      <c r="B59" s="277"/>
      <c r="C59" s="257"/>
      <c r="D59" s="283"/>
      <c r="E59" s="71" t="s">
        <v>86</v>
      </c>
      <c r="F59" s="61"/>
      <c r="G59" s="64" t="s">
        <v>87</v>
      </c>
      <c r="H59" s="74">
        <v>1</v>
      </c>
      <c r="I59" s="82"/>
      <c r="J59" s="87"/>
      <c r="K59" s="62"/>
    </row>
    <row r="60" spans="1:11" ht="57.75">
      <c r="A60" s="285"/>
      <c r="B60" s="277"/>
      <c r="C60" s="257"/>
      <c r="D60" s="282">
        <v>2</v>
      </c>
      <c r="E60" s="94" t="s">
        <v>279</v>
      </c>
      <c r="F60" s="97" t="s">
        <v>278</v>
      </c>
      <c r="G60" s="64" t="s">
        <v>85</v>
      </c>
      <c r="H60" s="74">
        <v>2</v>
      </c>
      <c r="I60" s="82"/>
      <c r="J60" s="87"/>
      <c r="K60" s="62"/>
    </row>
    <row r="61" spans="1:11">
      <c r="A61" s="285"/>
      <c r="B61" s="277"/>
      <c r="C61" s="257"/>
      <c r="D61" s="282"/>
      <c r="E61" s="71" t="s">
        <v>86</v>
      </c>
      <c r="F61" s="61"/>
      <c r="G61" s="64" t="s">
        <v>87</v>
      </c>
      <c r="H61" s="74">
        <v>1</v>
      </c>
      <c r="I61" s="82"/>
      <c r="J61" s="87"/>
      <c r="K61" s="62"/>
    </row>
    <row r="62" spans="1:11" ht="60" customHeight="1">
      <c r="A62" s="285"/>
      <c r="B62" s="277"/>
      <c r="C62" s="257"/>
      <c r="D62" s="281">
        <v>3</v>
      </c>
      <c r="E62" s="94" t="s">
        <v>280</v>
      </c>
      <c r="F62" s="95" t="s">
        <v>281</v>
      </c>
      <c r="G62" s="64" t="s">
        <v>85</v>
      </c>
      <c r="H62" s="74">
        <v>2</v>
      </c>
      <c r="I62" s="82"/>
      <c r="J62" s="87"/>
      <c r="K62" s="62"/>
    </row>
    <row r="63" spans="1:11">
      <c r="A63" s="285"/>
      <c r="B63" s="277"/>
      <c r="C63" s="257"/>
      <c r="D63" s="281"/>
      <c r="E63" s="71" t="s">
        <v>86</v>
      </c>
      <c r="F63" s="95"/>
      <c r="G63" s="64" t="s">
        <v>87</v>
      </c>
      <c r="H63" s="74">
        <v>1</v>
      </c>
      <c r="I63" s="82"/>
      <c r="J63" s="87"/>
      <c r="K63" s="62"/>
    </row>
    <row r="64" spans="1:11" ht="57.75">
      <c r="A64" s="285"/>
      <c r="B64" s="277"/>
      <c r="C64" s="257"/>
      <c r="D64" s="281">
        <v>4</v>
      </c>
      <c r="E64" s="94" t="s">
        <v>282</v>
      </c>
      <c r="F64" s="95" t="s">
        <v>281</v>
      </c>
      <c r="G64" s="64" t="s">
        <v>85</v>
      </c>
      <c r="H64" s="74">
        <v>2</v>
      </c>
      <c r="I64" s="82"/>
      <c r="J64" s="87"/>
      <c r="K64" s="62"/>
    </row>
    <row r="65" spans="1:11">
      <c r="A65" s="285"/>
      <c r="B65" s="277"/>
      <c r="C65" s="257"/>
      <c r="D65" s="281"/>
      <c r="E65" s="71" t="s">
        <v>86</v>
      </c>
      <c r="F65" s="61"/>
      <c r="G65" s="64" t="s">
        <v>87</v>
      </c>
      <c r="H65" s="74">
        <v>1</v>
      </c>
      <c r="I65" s="82"/>
      <c r="J65" s="87"/>
      <c r="K65" s="62"/>
    </row>
    <row r="66" spans="1:11" ht="57.75">
      <c r="A66" s="285"/>
      <c r="B66" s="277"/>
      <c r="C66" s="257"/>
      <c r="D66" s="281">
        <v>5</v>
      </c>
      <c r="E66" s="92" t="s">
        <v>283</v>
      </c>
      <c r="F66" s="61" t="s">
        <v>284</v>
      </c>
      <c r="G66" s="64" t="s">
        <v>85</v>
      </c>
      <c r="H66" s="74">
        <v>2</v>
      </c>
      <c r="I66" s="82"/>
      <c r="J66" s="87"/>
      <c r="K66" s="62"/>
    </row>
    <row r="67" spans="1:11">
      <c r="A67" s="285"/>
      <c r="B67" s="277"/>
      <c r="C67" s="257"/>
      <c r="D67" s="281"/>
      <c r="E67" s="71" t="s">
        <v>86</v>
      </c>
      <c r="F67" s="61"/>
      <c r="G67" s="64" t="s">
        <v>87</v>
      </c>
      <c r="H67" s="74">
        <v>1</v>
      </c>
      <c r="I67" s="82"/>
      <c r="J67" s="87"/>
      <c r="K67" s="62"/>
    </row>
    <row r="68" spans="1:11" ht="43.5">
      <c r="A68" s="285"/>
      <c r="B68" s="277"/>
      <c r="C68" s="257"/>
      <c r="D68" s="291">
        <v>6</v>
      </c>
      <c r="E68" s="94" t="s">
        <v>285</v>
      </c>
      <c r="F68" s="61" t="s">
        <v>286</v>
      </c>
      <c r="G68" s="64" t="s">
        <v>85</v>
      </c>
      <c r="H68" s="74">
        <v>2</v>
      </c>
      <c r="I68" s="82"/>
      <c r="J68" s="87"/>
      <c r="K68" s="62"/>
    </row>
    <row r="69" spans="1:11">
      <c r="A69" s="285"/>
      <c r="B69" s="277"/>
      <c r="C69" s="257"/>
      <c r="D69" s="292"/>
      <c r="E69" s="71" t="s">
        <v>86</v>
      </c>
      <c r="F69" s="61"/>
      <c r="G69" s="64" t="s">
        <v>87</v>
      </c>
      <c r="H69" s="74">
        <v>1</v>
      </c>
      <c r="I69" s="82"/>
      <c r="J69" s="87"/>
      <c r="K69" s="62"/>
    </row>
    <row r="70" spans="1:11" ht="131.25" customHeight="1">
      <c r="A70" s="285"/>
      <c r="B70" s="277"/>
      <c r="C70" s="257"/>
      <c r="D70" s="281">
        <v>7</v>
      </c>
      <c r="E70" s="94" t="s">
        <v>287</v>
      </c>
      <c r="F70" s="95" t="s">
        <v>288</v>
      </c>
      <c r="G70" s="64" t="s">
        <v>85</v>
      </c>
      <c r="H70" s="74">
        <v>2</v>
      </c>
      <c r="I70" s="82"/>
      <c r="J70" s="87"/>
      <c r="K70" s="62"/>
    </row>
    <row r="71" spans="1:11">
      <c r="A71" s="285"/>
      <c r="B71" s="277"/>
      <c r="C71" s="257"/>
      <c r="D71" s="281"/>
      <c r="E71" s="71" t="s">
        <v>86</v>
      </c>
      <c r="F71" s="61"/>
      <c r="G71" s="64" t="s">
        <v>87</v>
      </c>
      <c r="H71" s="74">
        <v>1</v>
      </c>
      <c r="I71" s="82"/>
      <c r="J71" s="87"/>
      <c r="K71" s="62"/>
    </row>
    <row r="72" spans="1:11" ht="115.5" customHeight="1">
      <c r="A72" s="285"/>
      <c r="B72" s="277"/>
      <c r="C72" s="257"/>
      <c r="D72" s="258">
        <v>8</v>
      </c>
      <c r="E72" s="94" t="s">
        <v>289</v>
      </c>
      <c r="F72" s="95" t="s">
        <v>288</v>
      </c>
      <c r="G72" s="64" t="s">
        <v>85</v>
      </c>
      <c r="H72" s="74">
        <v>2</v>
      </c>
      <c r="I72" s="82"/>
      <c r="J72" s="87"/>
      <c r="K72" s="62"/>
    </row>
    <row r="73" spans="1:11">
      <c r="A73" s="285"/>
      <c r="B73" s="277"/>
      <c r="C73" s="257"/>
      <c r="D73" s="258"/>
      <c r="E73" s="71" t="s">
        <v>86</v>
      </c>
      <c r="F73" s="61"/>
      <c r="G73" s="64" t="s">
        <v>87</v>
      </c>
      <c r="H73" s="74">
        <v>1</v>
      </c>
      <c r="I73" s="82"/>
      <c r="J73" s="87"/>
      <c r="K73" s="62"/>
    </row>
    <row r="74" spans="1:11" ht="57.75">
      <c r="A74" s="285"/>
      <c r="B74" s="277"/>
      <c r="C74" s="257"/>
      <c r="D74" s="281">
        <v>9</v>
      </c>
      <c r="E74" s="94" t="s">
        <v>290</v>
      </c>
      <c r="F74" s="95" t="s">
        <v>291</v>
      </c>
      <c r="G74" s="64" t="s">
        <v>85</v>
      </c>
      <c r="H74" s="74">
        <v>2</v>
      </c>
      <c r="I74" s="82"/>
      <c r="J74" s="87"/>
      <c r="K74" s="62"/>
    </row>
    <row r="75" spans="1:11">
      <c r="A75" s="285"/>
      <c r="B75" s="277"/>
      <c r="C75" s="257"/>
      <c r="D75" s="281"/>
      <c r="E75" s="71" t="s">
        <v>86</v>
      </c>
      <c r="F75" s="61"/>
      <c r="G75" s="64" t="s">
        <v>87</v>
      </c>
      <c r="H75" s="74">
        <v>1</v>
      </c>
      <c r="I75" s="82"/>
      <c r="J75" s="87"/>
      <c r="K75" s="62"/>
    </row>
    <row r="76" spans="1:11" ht="57.75">
      <c r="A76" s="285"/>
      <c r="B76" s="277"/>
      <c r="C76" s="257"/>
      <c r="D76" s="282">
        <v>10</v>
      </c>
      <c r="E76" s="94" t="s">
        <v>292</v>
      </c>
      <c r="F76" s="95" t="s">
        <v>291</v>
      </c>
      <c r="G76" s="64" t="s">
        <v>85</v>
      </c>
      <c r="H76" s="74">
        <v>2</v>
      </c>
      <c r="I76" s="82"/>
      <c r="J76" s="87"/>
      <c r="K76" s="62"/>
    </row>
    <row r="77" spans="1:11">
      <c r="A77" s="285"/>
      <c r="B77" s="277"/>
      <c r="C77" s="257"/>
      <c r="D77" s="282"/>
      <c r="E77" s="71" t="s">
        <v>86</v>
      </c>
      <c r="F77" s="61"/>
      <c r="G77" s="64" t="s">
        <v>87</v>
      </c>
      <c r="H77" s="74">
        <v>1</v>
      </c>
      <c r="I77" s="82"/>
      <c r="J77" s="87"/>
      <c r="K77" s="62"/>
    </row>
    <row r="78" spans="1:11" ht="57.75">
      <c r="A78" s="285"/>
      <c r="B78" s="277"/>
      <c r="C78" s="257"/>
      <c r="D78" s="282">
        <v>11</v>
      </c>
      <c r="E78" s="94" t="s">
        <v>293</v>
      </c>
      <c r="F78" s="95" t="s">
        <v>291</v>
      </c>
      <c r="G78" s="64" t="s">
        <v>85</v>
      </c>
      <c r="H78" s="74">
        <v>2</v>
      </c>
      <c r="I78" s="82"/>
      <c r="J78" s="87"/>
      <c r="K78" s="62"/>
    </row>
    <row r="79" spans="1:11">
      <c r="A79" s="285"/>
      <c r="B79" s="277"/>
      <c r="C79" s="257"/>
      <c r="D79" s="282"/>
      <c r="E79" s="71" t="s">
        <v>86</v>
      </c>
      <c r="F79" s="61"/>
      <c r="G79" s="64" t="s">
        <v>87</v>
      </c>
      <c r="H79" s="74">
        <v>1</v>
      </c>
      <c r="I79" s="82"/>
      <c r="J79" s="87"/>
      <c r="K79" s="62"/>
    </row>
    <row r="80" spans="1:11" ht="72.75">
      <c r="A80" s="285"/>
      <c r="B80" s="277"/>
      <c r="C80" s="257"/>
      <c r="D80" s="281">
        <v>12</v>
      </c>
      <c r="E80" s="94" t="s">
        <v>294</v>
      </c>
      <c r="F80" s="95" t="s">
        <v>295</v>
      </c>
      <c r="G80" s="64" t="s">
        <v>85</v>
      </c>
      <c r="H80" s="74">
        <v>2</v>
      </c>
      <c r="I80" s="82"/>
      <c r="J80" s="87"/>
      <c r="K80" s="62"/>
    </row>
    <row r="81" spans="1:11">
      <c r="A81" s="285"/>
      <c r="B81" s="277"/>
      <c r="C81" s="257"/>
      <c r="D81" s="281"/>
      <c r="E81" s="71" t="s">
        <v>86</v>
      </c>
      <c r="F81" s="95"/>
      <c r="G81" s="64" t="s">
        <v>87</v>
      </c>
      <c r="H81" s="74">
        <v>1</v>
      </c>
      <c r="I81" s="82"/>
      <c r="J81" s="87"/>
      <c r="K81" s="62"/>
    </row>
    <row r="82" spans="1:11" ht="72.75">
      <c r="A82" s="285"/>
      <c r="B82" s="277"/>
      <c r="C82" s="257"/>
      <c r="D82" s="281">
        <v>13</v>
      </c>
      <c r="E82" s="94" t="s">
        <v>296</v>
      </c>
      <c r="F82" s="95" t="s">
        <v>295</v>
      </c>
      <c r="G82" s="64" t="s">
        <v>85</v>
      </c>
      <c r="H82" s="74">
        <v>2</v>
      </c>
      <c r="I82" s="82"/>
      <c r="J82" s="87"/>
      <c r="K82" s="62"/>
    </row>
    <row r="83" spans="1:11">
      <c r="A83" s="285"/>
      <c r="B83" s="277"/>
      <c r="C83" s="257"/>
      <c r="D83" s="281"/>
      <c r="E83" s="71" t="s">
        <v>86</v>
      </c>
      <c r="F83" s="95"/>
      <c r="G83" s="64" t="s">
        <v>87</v>
      </c>
      <c r="H83" s="74">
        <v>1</v>
      </c>
      <c r="I83" s="82"/>
      <c r="J83" s="87"/>
      <c r="K83" s="62"/>
    </row>
    <row r="84" spans="1:11" ht="72.75">
      <c r="A84" s="285"/>
      <c r="B84" s="277"/>
      <c r="C84" s="257"/>
      <c r="D84" s="281">
        <v>14</v>
      </c>
      <c r="E84" s="94" t="s">
        <v>297</v>
      </c>
      <c r="F84" s="95" t="s">
        <v>295</v>
      </c>
      <c r="G84" s="64" t="s">
        <v>85</v>
      </c>
      <c r="H84" s="74">
        <v>2</v>
      </c>
      <c r="I84" s="82"/>
      <c r="J84" s="87"/>
      <c r="K84" s="62"/>
    </row>
    <row r="85" spans="1:11">
      <c r="A85" s="286"/>
      <c r="B85" s="277"/>
      <c r="C85" s="257"/>
      <c r="D85" s="281"/>
      <c r="E85" s="71" t="s">
        <v>86</v>
      </c>
      <c r="F85" s="61"/>
      <c r="G85" s="64" t="s">
        <v>87</v>
      </c>
      <c r="H85" s="74">
        <v>1</v>
      </c>
      <c r="I85" s="82"/>
      <c r="J85" s="87"/>
      <c r="K85" s="62"/>
    </row>
    <row r="86" spans="1:11" ht="188.25">
      <c r="B86" s="190" t="s">
        <v>159</v>
      </c>
      <c r="C86" s="191" t="b">
        <v>0</v>
      </c>
      <c r="D86" s="192" t="s">
        <v>194</v>
      </c>
      <c r="E86" s="193" t="s">
        <v>298</v>
      </c>
      <c r="F86" s="194" t="s">
        <v>299</v>
      </c>
      <c r="G86" s="195" t="s">
        <v>85</v>
      </c>
      <c r="H86" s="120">
        <v>10</v>
      </c>
      <c r="I86" s="107"/>
      <c r="J86" s="196"/>
      <c r="K86" s="197" t="s">
        <v>163</v>
      </c>
    </row>
    <row r="87" spans="1:11" ht="216.75">
      <c r="B87" s="198" t="s">
        <v>300</v>
      </c>
      <c r="C87" s="199" t="b">
        <v>1</v>
      </c>
      <c r="D87" s="192" t="s">
        <v>194</v>
      </c>
      <c r="E87" s="200" t="s">
        <v>298</v>
      </c>
      <c r="F87" s="194" t="s">
        <v>301</v>
      </c>
      <c r="G87" s="195" t="s">
        <v>85</v>
      </c>
      <c r="H87" s="120">
        <v>10</v>
      </c>
      <c r="I87" s="107"/>
      <c r="J87" s="196"/>
      <c r="K87" s="201" t="s">
        <v>163</v>
      </c>
    </row>
    <row r="88" spans="1:11" ht="216.75">
      <c r="B88" s="190" t="s">
        <v>167</v>
      </c>
      <c r="C88" s="191" t="b">
        <v>0</v>
      </c>
      <c r="D88" s="192" t="s">
        <v>194</v>
      </c>
      <c r="E88" s="193" t="s">
        <v>298</v>
      </c>
      <c r="F88" s="194" t="s">
        <v>302</v>
      </c>
      <c r="G88" s="195" t="s">
        <v>85</v>
      </c>
      <c r="H88" s="120">
        <v>10</v>
      </c>
      <c r="I88" s="107"/>
      <c r="J88" s="196"/>
      <c r="K88" s="201" t="s">
        <v>163</v>
      </c>
    </row>
    <row r="89" spans="1:11" ht="288.75">
      <c r="B89" s="202" t="s">
        <v>170</v>
      </c>
      <c r="C89" s="191" t="b">
        <v>0</v>
      </c>
      <c r="D89" s="203" t="s">
        <v>171</v>
      </c>
      <c r="E89" s="193" t="s">
        <v>303</v>
      </c>
      <c r="F89" s="204" t="s">
        <v>304</v>
      </c>
      <c r="G89" s="205" t="s">
        <v>85</v>
      </c>
      <c r="H89" s="205">
        <v>10</v>
      </c>
      <c r="I89" s="206"/>
      <c r="J89" s="207"/>
      <c r="K89" s="208" t="s">
        <v>305</v>
      </c>
    </row>
    <row r="90" spans="1:11" ht="409.6">
      <c r="B90" s="280" t="s">
        <v>190</v>
      </c>
      <c r="C90" s="209" t="b">
        <v>1</v>
      </c>
      <c r="D90" s="203" t="s">
        <v>171</v>
      </c>
      <c r="E90" s="193" t="s">
        <v>306</v>
      </c>
      <c r="F90" s="210" t="s">
        <v>307</v>
      </c>
      <c r="G90" s="211" t="s">
        <v>85</v>
      </c>
      <c r="H90" s="211">
        <v>16</v>
      </c>
      <c r="I90" s="206"/>
      <c r="J90" s="207"/>
      <c r="K90" s="208" t="s">
        <v>308</v>
      </c>
    </row>
    <row r="91" spans="1:11" ht="318">
      <c r="B91" s="280"/>
      <c r="C91" s="209" t="b">
        <v>0</v>
      </c>
      <c r="D91" s="203" t="s">
        <v>309</v>
      </c>
      <c r="E91" s="107" t="s">
        <v>310</v>
      </c>
      <c r="F91" s="212" t="s">
        <v>311</v>
      </c>
      <c r="G91" s="211" t="s">
        <v>85</v>
      </c>
      <c r="H91" s="211">
        <v>37</v>
      </c>
      <c r="I91" s="213"/>
      <c r="J91" s="214"/>
      <c r="K91" s="208" t="s">
        <v>308</v>
      </c>
    </row>
    <row r="92" spans="1:11" ht="288.75">
      <c r="B92" s="280" t="s">
        <v>199</v>
      </c>
      <c r="C92" s="209" t="b">
        <v>0</v>
      </c>
      <c r="D92" s="215" t="s">
        <v>312</v>
      </c>
      <c r="E92" s="216" t="s">
        <v>313</v>
      </c>
      <c r="F92" s="212" t="s">
        <v>314</v>
      </c>
      <c r="G92" s="211" t="s">
        <v>85</v>
      </c>
      <c r="H92" s="211">
        <v>15</v>
      </c>
      <c r="I92" s="213"/>
      <c r="J92" s="217"/>
      <c r="K92" s="218" t="s">
        <v>315</v>
      </c>
    </row>
    <row r="93" spans="1:11" ht="318">
      <c r="B93" s="280"/>
      <c r="C93" s="209"/>
      <c r="D93" s="215" t="s">
        <v>312</v>
      </c>
      <c r="E93" s="216" t="s">
        <v>316</v>
      </c>
      <c r="F93" s="212" t="s">
        <v>317</v>
      </c>
      <c r="G93" s="211" t="s">
        <v>85</v>
      </c>
      <c r="H93" s="211">
        <v>15</v>
      </c>
      <c r="I93" s="213"/>
      <c r="J93" s="217"/>
      <c r="K93" s="219" t="s">
        <v>318</v>
      </c>
    </row>
    <row r="94" spans="1:11" ht="288.75">
      <c r="B94" s="280"/>
      <c r="C94" s="209" t="b">
        <v>0</v>
      </c>
      <c r="D94" s="215" t="s">
        <v>312</v>
      </c>
      <c r="E94" s="193" t="s">
        <v>319</v>
      </c>
      <c r="F94" s="212" t="s">
        <v>320</v>
      </c>
      <c r="G94" s="211" t="s">
        <v>85</v>
      </c>
      <c r="H94" s="211">
        <v>15</v>
      </c>
      <c r="I94" s="213"/>
      <c r="J94" s="217"/>
      <c r="K94" s="219" t="s">
        <v>321</v>
      </c>
    </row>
    <row r="95" spans="1:11">
      <c r="B95" s="202" t="s">
        <v>204</v>
      </c>
      <c r="C95" s="220" t="b">
        <v>0</v>
      </c>
      <c r="D95" s="203" t="s">
        <v>171</v>
      </c>
      <c r="E95" s="217"/>
      <c r="F95" s="221"/>
      <c r="G95" s="211" t="s">
        <v>85</v>
      </c>
      <c r="H95" s="211">
        <v>10</v>
      </c>
      <c r="I95" s="213"/>
      <c r="J95" s="217"/>
      <c r="K95" s="219"/>
    </row>
    <row r="96" spans="1:11" ht="137.25">
      <c r="B96" s="202" t="s">
        <v>207</v>
      </c>
      <c r="C96" s="220" t="b">
        <v>0</v>
      </c>
      <c r="D96" s="203" t="s">
        <v>160</v>
      </c>
      <c r="E96" s="107" t="s">
        <v>62</v>
      </c>
      <c r="F96" s="212" t="s">
        <v>322</v>
      </c>
      <c r="G96" s="211" t="s">
        <v>85</v>
      </c>
      <c r="H96" s="211">
        <v>10</v>
      </c>
      <c r="I96" s="213"/>
      <c r="J96" s="217"/>
      <c r="K96" s="219" t="s">
        <v>213</v>
      </c>
    </row>
    <row r="97" spans="2:11" ht="21.75" customHeight="1">
      <c r="B97" s="202" t="s">
        <v>214</v>
      </c>
      <c r="C97" s="220" t="b">
        <v>0</v>
      </c>
      <c r="D97" s="203" t="s">
        <v>323</v>
      </c>
      <c r="E97" s="217"/>
      <c r="F97" s="221"/>
      <c r="G97" s="211" t="s">
        <v>85</v>
      </c>
      <c r="H97" s="211">
        <v>20</v>
      </c>
      <c r="I97" s="213"/>
      <c r="J97" s="217"/>
      <c r="K97" s="219"/>
    </row>
    <row r="100" spans="2:11">
      <c r="B100" s="178" t="s">
        <v>4</v>
      </c>
      <c r="C100" s="179"/>
    </row>
    <row r="101" spans="2:11">
      <c r="B101" s="222" t="s">
        <v>217</v>
      </c>
      <c r="C101" s="181">
        <f>COUNTIF($C$1:$C$98,TRUE)</f>
        <v>7</v>
      </c>
    </row>
    <row r="102" spans="2:11">
      <c r="B102" s="223" t="s">
        <v>218</v>
      </c>
      <c r="C102" s="183">
        <f>SUMIF($C$1:$C$98,TRUE,$H$1:$H$98)</f>
        <v>33</v>
      </c>
    </row>
    <row r="103" spans="2:11">
      <c r="B103" s="224" t="s">
        <v>219</v>
      </c>
      <c r="C103" s="185">
        <f>C102/22</f>
        <v>1.5</v>
      </c>
    </row>
  </sheetData>
  <mergeCells count="59">
    <mergeCell ref="A1:B1"/>
    <mergeCell ref="A2:A15"/>
    <mergeCell ref="B2:B15"/>
    <mergeCell ref="D2:D3"/>
    <mergeCell ref="D4:D5"/>
    <mergeCell ref="D6:D7"/>
    <mergeCell ref="D8:D9"/>
    <mergeCell ref="D10:D11"/>
    <mergeCell ref="D12:D13"/>
    <mergeCell ref="D14:D15"/>
    <mergeCell ref="A16:A29"/>
    <mergeCell ref="B16:B29"/>
    <mergeCell ref="D16:D17"/>
    <mergeCell ref="D18:D19"/>
    <mergeCell ref="D20:D21"/>
    <mergeCell ref="D22:D23"/>
    <mergeCell ref="D24:D25"/>
    <mergeCell ref="D26:D27"/>
    <mergeCell ref="D28:D29"/>
    <mergeCell ref="A30:A43"/>
    <mergeCell ref="B30:B43"/>
    <mergeCell ref="D30:D31"/>
    <mergeCell ref="D32:D33"/>
    <mergeCell ref="D34:D35"/>
    <mergeCell ref="D36:D37"/>
    <mergeCell ref="D38:D39"/>
    <mergeCell ref="D40:D41"/>
    <mergeCell ref="D42:D43"/>
    <mergeCell ref="A44:A85"/>
    <mergeCell ref="B44:B57"/>
    <mergeCell ref="D44:D45"/>
    <mergeCell ref="D46:D47"/>
    <mergeCell ref="D48:D49"/>
    <mergeCell ref="D50:D51"/>
    <mergeCell ref="D52:D53"/>
    <mergeCell ref="D54:D55"/>
    <mergeCell ref="D56:D57"/>
    <mergeCell ref="B58:B85"/>
    <mergeCell ref="D60:D61"/>
    <mergeCell ref="D62:D63"/>
    <mergeCell ref="D64:D65"/>
    <mergeCell ref="D66:D67"/>
    <mergeCell ref="D68:D69"/>
    <mergeCell ref="B90:B91"/>
    <mergeCell ref="B92:B94"/>
    <mergeCell ref="D82:D83"/>
    <mergeCell ref="D84:D85"/>
    <mergeCell ref="C2:C15"/>
    <mergeCell ref="C16:C29"/>
    <mergeCell ref="C30:C43"/>
    <mergeCell ref="C44:C57"/>
    <mergeCell ref="C58:C85"/>
    <mergeCell ref="D70:D71"/>
    <mergeCell ref="D72:D73"/>
    <mergeCell ref="D74:D75"/>
    <mergeCell ref="D76:D77"/>
    <mergeCell ref="D78:D79"/>
    <mergeCell ref="D80:D81"/>
    <mergeCell ref="D58:D59"/>
  </mergeCells>
  <hyperlinks>
    <hyperlink ref="K96" r:id="rId1" display="https://fptsoftware362.sharepoint.com/:x:/r/sites/FSO.DataStorage.Pay/FSO.FSA/Shared%20Documents/FSA/1.%20Learning%20Solutions%20(LS)/9.%20LS%20Programs/UpSkill_Reskill%20Program%20for%20Delivery/2025/1.%20Senior%20Technical%20Training%20Materials/Cloud_Azure_AI102_Associate_2025/Cloud_Azure_AI102_Associate_Syllabus_v1.1.xlsx?d=w61246abeac524ef0b4fb7bce54a52753&amp;csf=1&amp;web=1&amp;e=Xt3yFo" xr:uid="{55035D12-15CC-4EBF-84EF-C37BE1450DA9}"/>
    <hyperlink ref="K92" r:id="rId2" xr:uid="{B4C5E062-BFF6-4270-824A-452C9495B53F}"/>
    <hyperlink ref="K93" r:id="rId3" xr:uid="{F239899E-F240-4A0A-8CA1-1C36458034F4}"/>
    <hyperlink ref="K94" r:id="rId4" display="https://fptsoftware362.sharepoint.com/:x:/r/sites/FSO.DataStorage.Pay/FSO.FSA/_layouts/15/Doc.aspx?sourcedoc=%7B46FC318F-CCEE-47D4-B210-1464056B5467%7D&amp;file=Google%20Professional%20Cloud%20Devops%20Engineer_PCDE_Syllabus.xlsx&amp;action=default&amp;mobileredirect=true" xr:uid="{3ECA53D4-3C1B-4432-95A2-DF298FE9ADD0}"/>
    <hyperlink ref="K86" r:id="rId5" xr:uid="{9220AEB0-F4E8-4E4F-872B-0D3CA88DA2DF}"/>
    <hyperlink ref="K87" r:id="rId6" xr:uid="{4D86844B-94E4-471D-B95C-FE5FDA2B915B}"/>
    <hyperlink ref="K88" r:id="rId7" xr:uid="{24C278E7-8DC6-47EF-84DC-B46218C8E680}"/>
    <hyperlink ref="K89" r:id="rId8" xr:uid="{FC5DC956-CB52-4D3D-A221-7FC7BF92439F}"/>
    <hyperlink ref="K90" r:id="rId9" xr:uid="{60FD59D3-13F9-4F57-A6A9-76C30F8F575E}"/>
    <hyperlink ref="K91" r:id="rId10" xr:uid="{EC5505C2-C012-4462-BF38-04DDEC264BE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12505-355F-4A63-AAFF-E0E13A3B70D9}">
  <dimension ref="A1:G45"/>
  <sheetViews>
    <sheetView workbookViewId="0">
      <selection activeCell="G19" sqref="G19"/>
    </sheetView>
  </sheetViews>
  <sheetFormatPr defaultRowHeight="15"/>
  <cols>
    <col min="1" max="1" width="20.140625" customWidth="1"/>
    <col min="2" max="2" width="30.42578125" customWidth="1"/>
    <col min="3" max="3" width="27.42578125" customWidth="1"/>
    <col min="4" max="4" width="53" customWidth="1"/>
    <col min="5" max="5" width="10.140625" customWidth="1"/>
    <col min="6" max="6" width="12.5703125" customWidth="1"/>
    <col min="7" max="7" width="255.7109375" bestFit="1" customWidth="1"/>
  </cols>
  <sheetData>
    <row r="1" spans="1:7" ht="22.5">
      <c r="A1" s="26" t="s">
        <v>324</v>
      </c>
      <c r="B1" s="27" t="s">
        <v>325</v>
      </c>
      <c r="C1" s="26" t="s">
        <v>326</v>
      </c>
      <c r="D1" s="27" t="s">
        <v>327</v>
      </c>
      <c r="E1" s="28" t="s">
        <v>328</v>
      </c>
      <c r="F1" s="29" t="s">
        <v>329</v>
      </c>
      <c r="G1" s="30" t="s">
        <v>330</v>
      </c>
    </row>
    <row r="2" spans="1:7">
      <c r="A2" s="31" t="s">
        <v>331</v>
      </c>
      <c r="B2" s="32" t="s">
        <v>332</v>
      </c>
      <c r="C2" s="33" t="s">
        <v>333</v>
      </c>
      <c r="D2" s="31" t="s">
        <v>334</v>
      </c>
      <c r="E2" s="34" t="s">
        <v>335</v>
      </c>
      <c r="F2" s="35" t="s">
        <v>336</v>
      </c>
      <c r="G2" s="36" t="s">
        <v>213</v>
      </c>
    </row>
    <row r="3" spans="1:7">
      <c r="A3" s="31" t="s">
        <v>331</v>
      </c>
      <c r="B3" s="32" t="s">
        <v>332</v>
      </c>
      <c r="C3" s="33" t="s">
        <v>333</v>
      </c>
      <c r="D3" s="31" t="s">
        <v>337</v>
      </c>
      <c r="E3" s="34" t="s">
        <v>335</v>
      </c>
      <c r="F3" s="35" t="s">
        <v>338</v>
      </c>
      <c r="G3" s="36" t="s">
        <v>210</v>
      </c>
    </row>
    <row r="4" spans="1:7">
      <c r="A4" s="31" t="s">
        <v>331</v>
      </c>
      <c r="B4" s="32" t="s">
        <v>332</v>
      </c>
      <c r="C4" s="37" t="s">
        <v>331</v>
      </c>
      <c r="D4" s="37" t="s">
        <v>339</v>
      </c>
      <c r="E4" s="38" t="s">
        <v>335</v>
      </c>
      <c r="F4" s="39" t="s">
        <v>340</v>
      </c>
      <c r="G4" s="40" t="s">
        <v>341</v>
      </c>
    </row>
    <row r="5" spans="1:7">
      <c r="A5" s="31" t="s">
        <v>342</v>
      </c>
      <c r="B5" s="41" t="s">
        <v>332</v>
      </c>
      <c r="C5" s="42" t="s">
        <v>343</v>
      </c>
      <c r="D5" s="43" t="s">
        <v>344</v>
      </c>
      <c r="E5" s="43" t="s">
        <v>335</v>
      </c>
      <c r="F5" s="43" t="s">
        <v>336</v>
      </c>
      <c r="G5" s="44" t="s">
        <v>345</v>
      </c>
    </row>
    <row r="6" spans="1:7">
      <c r="A6" s="31" t="s">
        <v>342</v>
      </c>
      <c r="B6" s="41" t="s">
        <v>332</v>
      </c>
      <c r="C6" s="45" t="s">
        <v>346</v>
      </c>
      <c r="D6" s="45" t="s">
        <v>346</v>
      </c>
      <c r="E6" s="43" t="s">
        <v>347</v>
      </c>
      <c r="F6" s="43" t="s">
        <v>336</v>
      </c>
      <c r="G6" s="44" t="s">
        <v>348</v>
      </c>
    </row>
    <row r="7" spans="1:7" ht="26.25" customHeight="1">
      <c r="A7" s="31" t="s">
        <v>342</v>
      </c>
      <c r="B7" s="32" t="s">
        <v>332</v>
      </c>
      <c r="C7" s="33" t="s">
        <v>346</v>
      </c>
      <c r="D7" s="33" t="s">
        <v>349</v>
      </c>
      <c r="E7" s="34" t="s">
        <v>347</v>
      </c>
      <c r="F7" s="35" t="s">
        <v>336</v>
      </c>
      <c r="G7" s="46" t="s">
        <v>350</v>
      </c>
    </row>
    <row r="8" spans="1:7">
      <c r="A8" s="31" t="s">
        <v>351</v>
      </c>
      <c r="B8" s="32" t="s">
        <v>352</v>
      </c>
      <c r="C8" s="33" t="s">
        <v>353</v>
      </c>
      <c r="D8" s="31" t="s">
        <v>354</v>
      </c>
      <c r="E8" s="34" t="s">
        <v>347</v>
      </c>
      <c r="F8" s="35" t="s">
        <v>336</v>
      </c>
      <c r="G8" s="36" t="s">
        <v>355</v>
      </c>
    </row>
    <row r="9" spans="1:7">
      <c r="A9" s="31" t="s">
        <v>351</v>
      </c>
      <c r="B9" s="32" t="s">
        <v>352</v>
      </c>
      <c r="C9" s="33" t="s">
        <v>353</v>
      </c>
      <c r="D9" s="31" t="s">
        <v>356</v>
      </c>
      <c r="E9" s="34" t="s">
        <v>335</v>
      </c>
      <c r="F9" s="35" t="s">
        <v>336</v>
      </c>
      <c r="G9" s="44" t="s">
        <v>357</v>
      </c>
    </row>
    <row r="10" spans="1:7">
      <c r="A10" s="31" t="s">
        <v>351</v>
      </c>
      <c r="B10" s="32" t="s">
        <v>352</v>
      </c>
      <c r="C10" s="31" t="s">
        <v>353</v>
      </c>
      <c r="D10" s="31" t="s">
        <v>358</v>
      </c>
      <c r="E10" s="34" t="s">
        <v>335</v>
      </c>
      <c r="F10" s="35" t="s">
        <v>338</v>
      </c>
      <c r="G10" s="36" t="s">
        <v>359</v>
      </c>
    </row>
    <row r="11" spans="1:7">
      <c r="A11" s="35" t="s">
        <v>351</v>
      </c>
      <c r="B11" s="47" t="s">
        <v>352</v>
      </c>
      <c r="C11" s="33" t="s">
        <v>353</v>
      </c>
      <c r="D11" s="31" t="s">
        <v>360</v>
      </c>
      <c r="E11" s="34" t="s">
        <v>335</v>
      </c>
      <c r="F11" s="35" t="s">
        <v>338</v>
      </c>
      <c r="G11" s="44" t="s">
        <v>361</v>
      </c>
    </row>
    <row r="12" spans="1:7">
      <c r="A12" s="35" t="s">
        <v>351</v>
      </c>
      <c r="B12" s="47" t="s">
        <v>352</v>
      </c>
      <c r="C12" s="33" t="s">
        <v>353</v>
      </c>
      <c r="D12" s="31" t="s">
        <v>362</v>
      </c>
      <c r="E12" s="34" t="s">
        <v>347</v>
      </c>
      <c r="F12" s="35" t="s">
        <v>338</v>
      </c>
      <c r="G12" s="44" t="s">
        <v>363</v>
      </c>
    </row>
    <row r="13" spans="1:7">
      <c r="A13" s="35" t="s">
        <v>351</v>
      </c>
      <c r="B13" s="47" t="s">
        <v>352</v>
      </c>
      <c r="C13" s="31" t="s">
        <v>353</v>
      </c>
      <c r="D13" s="31" t="s">
        <v>364</v>
      </c>
      <c r="E13" s="34" t="s">
        <v>347</v>
      </c>
      <c r="F13" s="35" t="s">
        <v>338</v>
      </c>
      <c r="G13" s="44" t="s">
        <v>365</v>
      </c>
    </row>
    <row r="14" spans="1:7">
      <c r="A14" s="35" t="s">
        <v>351</v>
      </c>
      <c r="B14" s="47" t="s">
        <v>352</v>
      </c>
      <c r="C14" s="33" t="s">
        <v>366</v>
      </c>
      <c r="D14" s="31" t="s">
        <v>367</v>
      </c>
      <c r="E14" s="34" t="s">
        <v>335</v>
      </c>
      <c r="F14" s="35" t="s">
        <v>338</v>
      </c>
      <c r="G14" s="44" t="s">
        <v>368</v>
      </c>
    </row>
    <row r="15" spans="1:7">
      <c r="A15" s="31" t="s">
        <v>351</v>
      </c>
      <c r="B15" s="32" t="s">
        <v>352</v>
      </c>
      <c r="C15" s="33" t="s">
        <v>366</v>
      </c>
      <c r="D15" s="33" t="s">
        <v>369</v>
      </c>
      <c r="E15" s="34" t="s">
        <v>347</v>
      </c>
      <c r="F15" s="35" t="s">
        <v>336</v>
      </c>
      <c r="G15" s="44" t="s">
        <v>370</v>
      </c>
    </row>
    <row r="16" spans="1:7">
      <c r="A16" s="35" t="s">
        <v>371</v>
      </c>
      <c r="B16" s="47" t="s">
        <v>352</v>
      </c>
      <c r="C16" s="33" t="s">
        <v>366</v>
      </c>
      <c r="D16" s="31" t="s">
        <v>372</v>
      </c>
      <c r="E16" s="34" t="s">
        <v>347</v>
      </c>
      <c r="F16" s="35" t="s">
        <v>336</v>
      </c>
      <c r="G16" s="44" t="s">
        <v>373</v>
      </c>
    </row>
    <row r="17" spans="1:7">
      <c r="A17" s="31" t="s">
        <v>351</v>
      </c>
      <c r="B17" s="32" t="s">
        <v>352</v>
      </c>
      <c r="C17" s="33" t="s">
        <v>366</v>
      </c>
      <c r="D17" s="31" t="s">
        <v>374</v>
      </c>
      <c r="E17" s="34" t="s">
        <v>335</v>
      </c>
      <c r="F17" s="35" t="s">
        <v>336</v>
      </c>
      <c r="G17" s="44" t="s">
        <v>375</v>
      </c>
    </row>
    <row r="18" spans="1:7">
      <c r="A18" s="35" t="s">
        <v>351</v>
      </c>
      <c r="B18" s="47" t="s">
        <v>352</v>
      </c>
      <c r="C18" s="33" t="s">
        <v>366</v>
      </c>
      <c r="D18" s="31" t="s">
        <v>376</v>
      </c>
      <c r="E18" s="34" t="s">
        <v>335</v>
      </c>
      <c r="F18" s="35" t="s">
        <v>336</v>
      </c>
      <c r="G18" s="44" t="s">
        <v>377</v>
      </c>
    </row>
    <row r="19" spans="1:7">
      <c r="A19" s="35" t="s">
        <v>351</v>
      </c>
      <c r="B19" s="47" t="s">
        <v>352</v>
      </c>
      <c r="C19" s="32" t="s">
        <v>366</v>
      </c>
      <c r="D19" s="31" t="s">
        <v>378</v>
      </c>
      <c r="E19" s="34" t="s">
        <v>335</v>
      </c>
      <c r="F19" s="35" t="s">
        <v>338</v>
      </c>
      <c r="G19" s="44" t="s">
        <v>379</v>
      </c>
    </row>
    <row r="20" spans="1:7">
      <c r="A20" s="35" t="s">
        <v>351</v>
      </c>
      <c r="B20" s="47" t="s">
        <v>352</v>
      </c>
      <c r="C20" s="33" t="s">
        <v>380</v>
      </c>
      <c r="D20" s="31" t="s">
        <v>381</v>
      </c>
      <c r="E20" s="34" t="s">
        <v>347</v>
      </c>
      <c r="F20" s="35" t="s">
        <v>336</v>
      </c>
      <c r="G20" s="44" t="s">
        <v>382</v>
      </c>
    </row>
    <row r="21" spans="1:7">
      <c r="A21" s="35" t="s">
        <v>351</v>
      </c>
      <c r="B21" s="47" t="s">
        <v>352</v>
      </c>
      <c r="C21" s="33" t="s">
        <v>383</v>
      </c>
      <c r="D21" s="31" t="s">
        <v>384</v>
      </c>
      <c r="E21" s="34" t="s">
        <v>347</v>
      </c>
      <c r="F21" s="35" t="s">
        <v>336</v>
      </c>
      <c r="G21" s="44" t="s">
        <v>385</v>
      </c>
    </row>
    <row r="22" spans="1:7">
      <c r="A22" s="35" t="s">
        <v>351</v>
      </c>
      <c r="B22" s="47" t="s">
        <v>352</v>
      </c>
      <c r="C22" s="33" t="s">
        <v>386</v>
      </c>
      <c r="D22" s="33" t="s">
        <v>387</v>
      </c>
      <c r="E22" s="34" t="s">
        <v>347</v>
      </c>
      <c r="F22" s="35" t="s">
        <v>336</v>
      </c>
      <c r="G22" s="44" t="s">
        <v>388</v>
      </c>
    </row>
    <row r="23" spans="1:7">
      <c r="A23" s="35" t="s">
        <v>351</v>
      </c>
      <c r="B23" s="47" t="s">
        <v>352</v>
      </c>
      <c r="C23" s="33" t="s">
        <v>386</v>
      </c>
      <c r="D23" s="31" t="s">
        <v>389</v>
      </c>
      <c r="E23" s="34" t="s">
        <v>335</v>
      </c>
      <c r="F23" s="35" t="s">
        <v>338</v>
      </c>
      <c r="G23" s="44" t="s">
        <v>390</v>
      </c>
    </row>
    <row r="24" spans="1:7">
      <c r="A24" s="35" t="s">
        <v>351</v>
      </c>
      <c r="B24" s="47" t="s">
        <v>352</v>
      </c>
      <c r="C24" s="33" t="s">
        <v>386</v>
      </c>
      <c r="D24" s="31" t="s">
        <v>391</v>
      </c>
      <c r="E24" s="34" t="s">
        <v>335</v>
      </c>
      <c r="F24" s="35" t="s">
        <v>338</v>
      </c>
      <c r="G24" s="44" t="s">
        <v>392</v>
      </c>
    </row>
    <row r="25" spans="1:7">
      <c r="A25" s="35" t="s">
        <v>351</v>
      </c>
      <c r="B25" s="47" t="s">
        <v>352</v>
      </c>
      <c r="C25" s="31" t="s">
        <v>386</v>
      </c>
      <c r="D25" s="31" t="s">
        <v>393</v>
      </c>
      <c r="E25" s="34" t="s">
        <v>347</v>
      </c>
      <c r="F25" s="35" t="s">
        <v>338</v>
      </c>
      <c r="G25" s="44" t="s">
        <v>394</v>
      </c>
    </row>
    <row r="26" spans="1:7">
      <c r="A26" s="35" t="s">
        <v>351</v>
      </c>
      <c r="B26" s="47" t="s">
        <v>352</v>
      </c>
      <c r="C26" s="33" t="s">
        <v>395</v>
      </c>
      <c r="D26" s="31" t="s">
        <v>396</v>
      </c>
      <c r="E26" s="34" t="s">
        <v>335</v>
      </c>
      <c r="F26" s="35" t="s">
        <v>336</v>
      </c>
      <c r="G26" s="44" t="s">
        <v>397</v>
      </c>
    </row>
    <row r="27" spans="1:7">
      <c r="A27" s="35" t="s">
        <v>342</v>
      </c>
      <c r="B27" s="47" t="s">
        <v>398</v>
      </c>
      <c r="C27" s="32" t="s">
        <v>399</v>
      </c>
      <c r="D27" s="31" t="s">
        <v>400</v>
      </c>
      <c r="E27" s="34" t="s">
        <v>335</v>
      </c>
      <c r="F27" s="35" t="s">
        <v>340</v>
      </c>
      <c r="G27" s="48" t="s">
        <v>401</v>
      </c>
    </row>
    <row r="28" spans="1:7">
      <c r="A28" s="35" t="s">
        <v>342</v>
      </c>
      <c r="B28" s="47" t="s">
        <v>398</v>
      </c>
      <c r="C28" s="32" t="s">
        <v>399</v>
      </c>
      <c r="D28" s="31" t="s">
        <v>402</v>
      </c>
      <c r="E28" s="34" t="s">
        <v>335</v>
      </c>
      <c r="F28" s="35" t="s">
        <v>336</v>
      </c>
      <c r="G28" s="36" t="s">
        <v>403</v>
      </c>
    </row>
    <row r="29" spans="1:7">
      <c r="A29" s="35" t="s">
        <v>342</v>
      </c>
      <c r="B29" s="47" t="s">
        <v>398</v>
      </c>
      <c r="C29" s="33" t="s">
        <v>399</v>
      </c>
      <c r="D29" s="31" t="s">
        <v>404</v>
      </c>
      <c r="E29" s="34" t="s">
        <v>335</v>
      </c>
      <c r="F29" s="35" t="s">
        <v>336</v>
      </c>
      <c r="G29" s="36" t="s">
        <v>405</v>
      </c>
    </row>
    <row r="30" spans="1:7">
      <c r="A30" s="35" t="s">
        <v>342</v>
      </c>
      <c r="B30" s="47" t="s">
        <v>398</v>
      </c>
      <c r="C30" s="33" t="s">
        <v>406</v>
      </c>
      <c r="D30" s="31" t="s">
        <v>407</v>
      </c>
      <c r="E30" s="34" t="s">
        <v>335</v>
      </c>
      <c r="F30" s="35" t="s">
        <v>336</v>
      </c>
      <c r="G30" s="36" t="s">
        <v>408</v>
      </c>
    </row>
    <row r="31" spans="1:7">
      <c r="A31" s="31" t="s">
        <v>342</v>
      </c>
      <c r="B31" s="32" t="s">
        <v>398</v>
      </c>
      <c r="C31" s="49" t="s">
        <v>406</v>
      </c>
      <c r="D31" s="31" t="s">
        <v>409</v>
      </c>
      <c r="E31" s="34" t="s">
        <v>347</v>
      </c>
      <c r="F31" s="35" t="s">
        <v>338</v>
      </c>
      <c r="G31" s="36" t="s">
        <v>410</v>
      </c>
    </row>
    <row r="32" spans="1:7">
      <c r="A32" s="35" t="s">
        <v>342</v>
      </c>
      <c r="B32" s="50" t="s">
        <v>398</v>
      </c>
      <c r="C32" s="45" t="s">
        <v>411</v>
      </c>
      <c r="D32" s="31" t="s">
        <v>412</v>
      </c>
      <c r="E32" s="34" t="s">
        <v>335</v>
      </c>
      <c r="F32" s="35" t="s">
        <v>336</v>
      </c>
      <c r="G32" s="36" t="s">
        <v>413</v>
      </c>
    </row>
    <row r="33" spans="1:7">
      <c r="A33" s="35" t="s">
        <v>342</v>
      </c>
      <c r="B33" s="47" t="s">
        <v>398</v>
      </c>
      <c r="C33" s="33" t="s">
        <v>411</v>
      </c>
      <c r="D33" s="31" t="s">
        <v>414</v>
      </c>
      <c r="E33" s="34" t="s">
        <v>347</v>
      </c>
      <c r="F33" s="35" t="s">
        <v>338</v>
      </c>
      <c r="G33" s="44" t="s">
        <v>415</v>
      </c>
    </row>
    <row r="34" spans="1:7" ht="22.5">
      <c r="A34" s="35" t="s">
        <v>342</v>
      </c>
      <c r="B34" s="50" t="s">
        <v>398</v>
      </c>
      <c r="C34" s="51" t="s">
        <v>416</v>
      </c>
      <c r="D34" s="33" t="s">
        <v>417</v>
      </c>
      <c r="E34" s="34" t="s">
        <v>347</v>
      </c>
      <c r="F34" s="35" t="s">
        <v>336</v>
      </c>
      <c r="G34" s="44" t="s">
        <v>418</v>
      </c>
    </row>
    <row r="35" spans="1:7">
      <c r="A35" s="35" t="s">
        <v>342</v>
      </c>
      <c r="B35" s="50" t="s">
        <v>398</v>
      </c>
      <c r="C35" s="51" t="s">
        <v>419</v>
      </c>
      <c r="D35" s="33" t="s">
        <v>420</v>
      </c>
      <c r="E35" s="34" t="s">
        <v>347</v>
      </c>
      <c r="F35" s="35" t="s">
        <v>336</v>
      </c>
      <c r="G35" s="44" t="s">
        <v>421</v>
      </c>
    </row>
    <row r="36" spans="1:7">
      <c r="A36" s="35" t="s">
        <v>342</v>
      </c>
      <c r="B36" s="47" t="s">
        <v>398</v>
      </c>
      <c r="C36" s="31" t="s">
        <v>422</v>
      </c>
      <c r="D36" s="31" t="s">
        <v>423</v>
      </c>
      <c r="E36" s="34" t="s">
        <v>335</v>
      </c>
      <c r="F36" s="35" t="s">
        <v>340</v>
      </c>
      <c r="G36" s="36" t="s">
        <v>424</v>
      </c>
    </row>
    <row r="37" spans="1:7" ht="22.5">
      <c r="A37" s="35" t="s">
        <v>342</v>
      </c>
      <c r="B37" s="47" t="s">
        <v>398</v>
      </c>
      <c r="C37" s="33" t="s">
        <v>425</v>
      </c>
      <c r="D37" s="31" t="s">
        <v>426</v>
      </c>
      <c r="E37" s="34" t="s">
        <v>335</v>
      </c>
      <c r="F37" s="35" t="s">
        <v>340</v>
      </c>
      <c r="G37" s="48" t="s">
        <v>427</v>
      </c>
    </row>
    <row r="38" spans="1:7">
      <c r="A38" s="35" t="s">
        <v>351</v>
      </c>
      <c r="B38" s="52" t="s">
        <v>428</v>
      </c>
      <c r="C38" s="34" t="s">
        <v>429</v>
      </c>
      <c r="D38" s="31" t="s">
        <v>429</v>
      </c>
      <c r="E38" s="34" t="s">
        <v>347</v>
      </c>
      <c r="F38" s="39" t="s">
        <v>336</v>
      </c>
      <c r="G38" s="44" t="s">
        <v>430</v>
      </c>
    </row>
    <row r="39" spans="1:7">
      <c r="A39" s="35" t="s">
        <v>351</v>
      </c>
      <c r="B39" s="47" t="s">
        <v>428</v>
      </c>
      <c r="C39" s="31" t="s">
        <v>431</v>
      </c>
      <c r="D39" s="31" t="s">
        <v>432</v>
      </c>
      <c r="E39" s="34" t="s">
        <v>347</v>
      </c>
      <c r="F39" s="39" t="s">
        <v>338</v>
      </c>
      <c r="G39" s="44" t="s">
        <v>433</v>
      </c>
    </row>
    <row r="40" spans="1:7">
      <c r="A40" s="35" t="s">
        <v>351</v>
      </c>
      <c r="B40" s="47" t="s">
        <v>428</v>
      </c>
      <c r="C40" s="32" t="s">
        <v>434</v>
      </c>
      <c r="D40" s="31" t="s">
        <v>435</v>
      </c>
      <c r="E40" s="34" t="s">
        <v>335</v>
      </c>
      <c r="F40" s="35" t="s">
        <v>336</v>
      </c>
      <c r="G40" s="44" t="s">
        <v>436</v>
      </c>
    </row>
    <row r="41" spans="1:7" ht="22.5">
      <c r="A41" s="35" t="s">
        <v>351</v>
      </c>
      <c r="B41" s="47" t="s">
        <v>428</v>
      </c>
      <c r="C41" s="33" t="s">
        <v>437</v>
      </c>
      <c r="D41" s="35" t="s">
        <v>438</v>
      </c>
      <c r="E41" s="34" t="s">
        <v>335</v>
      </c>
      <c r="F41" s="35" t="s">
        <v>338</v>
      </c>
      <c r="G41" s="44" t="s">
        <v>439</v>
      </c>
    </row>
    <row r="42" spans="1:7">
      <c r="A42" s="35" t="s">
        <v>351</v>
      </c>
      <c r="B42" s="47" t="s">
        <v>440</v>
      </c>
      <c r="C42" s="33" t="s">
        <v>441</v>
      </c>
      <c r="D42" s="35" t="s">
        <v>441</v>
      </c>
      <c r="E42" s="34" t="s">
        <v>347</v>
      </c>
      <c r="F42" s="35" t="s">
        <v>338</v>
      </c>
      <c r="G42" s="44" t="s">
        <v>442</v>
      </c>
    </row>
    <row r="43" spans="1:7">
      <c r="A43" s="31" t="s">
        <v>351</v>
      </c>
      <c r="B43" s="32" t="s">
        <v>443</v>
      </c>
      <c r="C43" s="33" t="s">
        <v>444</v>
      </c>
      <c r="D43" s="53" t="s">
        <v>445</v>
      </c>
      <c r="E43" s="34" t="s">
        <v>347</v>
      </c>
      <c r="F43" s="35" t="s">
        <v>336</v>
      </c>
      <c r="G43" s="44" t="s">
        <v>446</v>
      </c>
    </row>
    <row r="44" spans="1:7">
      <c r="A44" s="31" t="s">
        <v>351</v>
      </c>
      <c r="B44" s="32" t="s">
        <v>443</v>
      </c>
      <c r="C44" s="32" t="s">
        <v>447</v>
      </c>
      <c r="D44" s="31" t="s">
        <v>448</v>
      </c>
      <c r="E44" s="34" t="s">
        <v>335</v>
      </c>
      <c r="F44" s="35" t="s">
        <v>336</v>
      </c>
      <c r="G44" s="44" t="s">
        <v>449</v>
      </c>
    </row>
    <row r="45" spans="1:7">
      <c r="A45" s="54"/>
      <c r="B45" s="54"/>
      <c r="C45" s="54"/>
      <c r="D45" s="54"/>
      <c r="E45" s="54"/>
      <c r="F45" s="54"/>
    </row>
  </sheetData>
  <hyperlinks>
    <hyperlink ref="G6" r:id="rId1" display="https://fptsoftware362.sharepoint.com/:x:/r/sites/FSO.DataStorage.Pay/FSO.FSA/Shared%20Documents/FSA/1.%20Learning%20Solutions%20(LS)/9.%20LS%20Programs/UpSkill_Reskill%20Program%20for%20Delivery/2026/Training%20Materials/F1_Data%20Engineering_Intermediate%20for%20Dev/F1.PSI_DE_Intermediate_Syllabus_Fulltime.xlsx?d=wef457810b69e47f39f0de0d26013f70e&amp;csf=1&amp;web=1&amp;e=mHqge6" xr:uid="{4A3767BB-52B6-4E2B-9304-9E244DCF90E1}"/>
    <hyperlink ref="G10" r:id="rId2" display="https://fptsoftware362.sharepoint.com/:x:/r/sites/FSO.DataStorage.Pay/FSO.FSA/Shared%20Documents/FSA/1.%20Learning%20Solutions%20(LS)/9.%20LS%20Programs/UpSkill_Reskill%20Program%20for%20Delivery/2025/1.%20Senior%20Technical%20Training%20Materials/.Net_Foundation_EC_2025_HCM/CSharp-ASP.NET_FWA.EC_Categories-Skills_Syllabus_TuanTN8%20adjustion.xlsx?d=w30d6f1a0606d44c4836f11837cbd2cd4&amp;csf=1&amp;web=1&amp;e=5c0lMr" xr:uid="{96499621-C266-4099-85F2-412956C2C59E}"/>
    <hyperlink ref="G36" r:id="rId3" display="https://fptsoftware362.sharepoint.com/:x:/r/sites/FSO.DataStorage.Pay/FSO.FSA/Shared%20Documents/FSA/1.%20Learning%20Solutions%20(LS)/9.%20LS%20Programs/UpSkill_Reskill%20Program%20for%20Delivery/2025/1.%20Senior%20Technical%20Training%20Materials/Advanced_GCP_GHC_2025/Google%20Professional%20Cloud%20Architect_PCA_Syllabus.1.0.1%20(1).xlsx?d=w2777591e3b0b4040880209fc9f21363b&amp;csf=1&amp;web=1&amp;e=ibRSlt" xr:uid="{77B31FC8-6B93-4788-A6B4-D8F84580A3DB}"/>
    <hyperlink ref="G29" r:id="rId4" display="https://fptsoftware362.sharepoint.com/:x:/r/sites/FSO.DataStorage.Pay/FSO.FSA/Shared%20Documents/FSA/1.%20Learning%20Solutions%20(LS)/9.%20LS%20Programs/UpSkill_Reskill%20Program%20for%20Delivery/2025/1.%20Senior%20Technical%20Training%20Materials/AWS%20Cloud%20Fundamentals%20%26%20Administration_F1_2025/F1_CSM_Cloud_AWS_Syllabus_Sysops_v1.2.xlsx?d=we47937e57d6b4f39bdda9c93240b860b&amp;csf=1&amp;web=1&amp;e=j9Yn1z" xr:uid="{A9C1A8CB-3A61-4970-B31E-618F9724AB19}"/>
    <hyperlink ref="G31" r:id="rId5" display="https://fptsoftware362.sharepoint.com/:x:/r/sites/FSO.DataStorage.Pay/FSO.FSA/Shared%20Documents/FSA/1.%20Learning%20Solutions%20(LS)/9.%20LS%20Programs/UpSkill_Reskill%20Program%20for%20Delivery/2025/1.%20Senior%20Technical%20Training%20Materials/Azure%20Cloud%20Fundamentals%20%26%20Administration_F1_2025/F1.CSM_Fundamentals_Administration_Cloud_Azure_Syllabus_v0.1%201%20(1).xlsx?d=wcc58b1b04f8d474d9c9c1b3b321403d9&amp;csf=1&amp;web=1&amp;e=Wmt7xP" xr:uid="{E299875F-FB17-4D8E-8A56-82D5B95F3B74}"/>
    <hyperlink ref="G30" r:id="rId6" display="https://fptsoftware362.sharepoint.com/:x:/r/sites/FSO.DataStorage.Pay/FSO.FSA/Shared%20Documents/FSA/1.%20Learning%20Solutions%20(LS)/9.%20LS%20Programs/UpSkill_Reskill%20Program%20for%20Delivery/2025/1.%20Senior%20Technical%20Training%20Materials/Azure%20Cloud%20Fundamentals%20%26%20Administration_F1_2025/F1.CSM_CICD_IaC_Cloud_Azure_Syllabus_v0.1%201%20(1).xlsx?d=wc880d39695144d68b5b0a9537827ebb8&amp;csf=1&amp;web=1&amp;e=HKOmrb" xr:uid="{3685B06A-0DEE-4F67-B366-C6E6A559AA9A}"/>
    <hyperlink ref="G35" r:id="rId7" display="https://fptsoftware362.sharepoint.com/:x:/r/sites/FSO.DataStorage.Pay/FSO.FSA/Shared%20Documents/FSA/1.%20Learning%20Solutions%20(LS)/9.%20LS%20Programs/UpSkill_Reskill%20Program%20for%20Delivery/2025/1.%20Senior%20Technical%20Training%20Materials/Azure%20Devops%20400_F1_2025/PSI_Intermediate%20Azure%20DevOps_Syllabus_v1.2.xlsx?d=wcfeaebf21efd4a63af1e94605ff0daea&amp;csf=1&amp;web=1&amp;e=5k6eOn" xr:uid="{B864C6A4-DBC0-49A8-8498-EDBDB1C14E73}"/>
    <hyperlink ref="G28" r:id="rId8" display="https://fptsoftware362.sharepoint.com/:x:/r/sites/FSO.DataStorage.Pay/FSO.FSA/Shared%20Documents/FSA/1.%20Learning%20Solutions%20(LS)/9.%20LS%20Programs/UpSkill_Reskill%20Program%20for%20Delivery/2025/1.%20Senior%20Technical%20Training%20Materials/Cloud_AWS_Certified_SysOps_Administrator_Associate_2025/FSA_AWS_Certified_SysOps_Administrator_Associate_Syllabus_v0.2.xlsx?d=wfbd47ff1ed094b55b9eccf832a48d04e&amp;csf=1&amp;web=1&amp;e=jLLwWY" xr:uid="{08D8EB1E-6CC8-4D86-A6E6-5FF543E89576}"/>
    <hyperlink ref="G2" r:id="rId9" display="https://fptsoftware362.sharepoint.com/:x:/r/sites/FSO.DataStorage.Pay/FSO.FSA/Shared%20Documents/FSA/1.%20Learning%20Solutions%20(LS)/9.%20LS%20Programs/UpSkill_Reskill%20Program%20for%20Delivery/2025/1.%20Senior%20Technical%20Training%20Materials/Cloud_Azure_AI102_Associate_2025/Cloud_Azure_AI102_Associate_Syllabus_v1.1.xlsx?d=w61246abeac524ef0b4fb7bce54a52753&amp;csf=1&amp;web=1&amp;e=Xt3yFo" xr:uid="{8ED4025D-7FB4-48CB-ADF9-434B85FD4F0E}"/>
    <hyperlink ref="G3" r:id="rId10" display="https://fptsoftware362.sharepoint.com/:x:/r/sites/FSO.DataStorage.Pay/FSO.FSA/Shared%20Documents/FSA/1.%20Learning%20Solutions%20(LS)/9.%20LS%20Programs/UpSkill_Reskill%20Program%20for%20Delivery/2025/1.%20Senior%20Technical%20Training%20Materials/Cloud_Azure_AI900_Fundamental_2025/Cloud_Azure_AI900_Fundamental_Syllabus_v1.0.xlsx?d=wdd8c59f877b64f20989fbfa89ab9e49a&amp;csf=1&amp;web=1&amp;e=OhNTNC" xr:uid="{7EF9986D-768F-434E-95F1-D6381C5AB592}"/>
    <hyperlink ref="G32" r:id="rId11" display="https://fptsoftware362.sharepoint.com/:x:/r/sites/FSO.DataStorage.Pay/FSO.FSA/Shared%20Documents/FSA/1.%20Learning%20Solutions%20(LS)/9.%20LS%20Programs/UpSkill_Reskill%20Program%20for%20Delivery/2025/1.%20Senior%20Technical%20Training%20Materials/Cloud_Azure_AZ104_Associate_2025/AZ104_Syllabus_v2.3.xlsx?d=wc555ec62874f48999067e7b3f1c65b6b&amp;csf=1&amp;web=1&amp;e=gDWc2K" xr:uid="{415AC5CD-3B03-4BEC-9AFD-90654989E275}"/>
    <hyperlink ref="G4" r:id="rId12" display="https://fptsoftware362.sharepoint.com/:x:/r/sites/FSO.DataStorage.Pay/FSO.FSA/Shared%20Documents/FSA/1.%20Learning%20Solutions%20(LS)/9.%20LS%20Programs/UpSkill_Reskill%20Program%20for%20Delivery/2025/1.%20Senior%20Technical%20Training%20Materials/Github%20Copilot%20With%20Java%20Spring%20Boot_F1_2025/FSA_Syllabus_GitHub%20Copilot%20For%20Java%20Spring%20Boot_v1.1.xlsx?d=w53754edaebaf44279f6bf418f80e9a54&amp;csf=1&amp;web=1&amp;e=NRFo42" xr:uid="{BF88FCB5-1763-431E-ACCD-72781CD14648}"/>
    <hyperlink ref="G7" r:id="rId13" display="https://fptsoftware362.sharepoint.com/:x:/r/sites/FSO.DataStorage.Pay/FSO.FSA/_layouts/15/Doc.aspx?sourcedoc=%7BC61EE498-B262-4E60-8ABF-2BABB6D81E99%7D&amp;file=PSI_Intermediate%20Data%20Engineering%20-%20Building%20Data%20Pipelines%20and%20Analytics%20Systems_Class01_v1.1.xlsx&amp;action=default&amp;mobileredirect=true" xr:uid="{B6B8E41D-483F-44F2-8E93-FF0D5B6B9445}"/>
    <hyperlink ref="G8" r:id="rId14" xr:uid="{6DB647E0-F9DA-48AD-B5E9-05A98B77748F}"/>
    <hyperlink ref="G9" r:id="rId15" display="https://fptsoftware362.sharepoint.com/:x:/r/sites/FSO.DataStorage.Pay/FSO.FSA/Shared%20Documents/FSA/1.%20Learning%20Solutions%20(LS)/1.%20FSA%20NLS/3.%20Senior%20Training/2025/10.%20LMS%20Public%20course/6.%20EM.Cls_T_ER_DDD_HN25_01/1.%20Content%20Management/1.%20Syllabus/DDD%20.NET%20Syllabus_v0.1%202.xlsx?d=w8851af3e220e4d378f40fa842409800b&amp;csf=1&amp;web=1&amp;e=efvzcZ" xr:uid="{DE3C63E8-C51B-4138-B51C-80F8F18C73E6}"/>
    <hyperlink ref="G11" r:id="rId16" display="https://fptsoftware362.sharepoint.com/:x:/r/sites/FSO.DataStorage.Pay/FSO.FSA/Shared%20Documents/FSA/1.%20Learning%20Solutions%20(LS)/1.%20FSA%20NLS/3.%20Senior%20Training/2025/10.%20LMS%20Public%20course/1.%20EM.Cls_T_ER_NET-Micro_HN25_01/1.%20Content%20Management/1.%20Syllabus/NET%20Microservices%20Syllabus_v0.1%20(1).xlsx?d=w696ba063c7e545d094e1c47293842e5b&amp;csf=1&amp;web=1&amp;e=JQJ8Wt" xr:uid="{94BBD097-0B97-4B43-B7D3-B02B521D0227}"/>
    <hyperlink ref="G12" r:id="rId17" xr:uid="{30A005E4-5992-48CD-BDB3-A4828C4A9A19}"/>
    <hyperlink ref="G13" r:id="rId18" display="https://fptsoftware362.sharepoint.com/:x:/r/sites/FSO.DataStorage.Pay/FSO.FSA/Shared%20Documents/FSA/1.%20Learning%20Solutions%20(LS)/2.%20FSA%20CLS/CE/3.Training%20Program/5.Technology/Technical%20Upskilling%20Program/FSA.EC/EM.Cls_T_ER_JA%26A_DN25_02/1.Content%20Management/Authentication_and_Authorizatio_ASP.NET_Core__Syllabus_v0.3.xlsx?d=w322c47578a9e4f298e5c8e15d265111b&amp;csf=1&amp;web=1&amp;e=ioPxhD" xr:uid="{89147EA5-88B3-4993-8DFB-2EBCA3188381}"/>
    <hyperlink ref="G14" r:id="rId19" display="https://fptsoftware362.sharepoint.com/:x:/r/sites/FSO.DataStorage.Pay/FSO.FSA/Shared%20Documents/FSA/1.%20Learning%20Solutions%20(LS)/2.%20FSA%20CLS/CE/3.Training%20Program/5.Technology/Technical%20Upskilling%20Program/FSA.EC/EM.Cls_T_ER_JA%26A_DN25_01/1.%20Content%20Management/Syllabus_DN25_Java_Security_01_v1.0.xlsx?d=w152ec68a658e41878d7d760dd01a85d8&amp;csf=1&amp;web=1&amp;e=wLPdIM" xr:uid="{82A9BB3A-F3F3-4846-8BC1-3511AB0FDFCF}"/>
    <hyperlink ref="G15" r:id="rId20" display="https://fptsoftware362.sharepoint.com/:x:/r/sites/FSO.DataStorage.Pay/FSO.FSA/Shared%20Documents/FSA/1.%20Learning%20Solutions%20(LS)/2.%20FSA%20CLS/CE/3.Training%20Program/5.Technology/Technical%20Upskilling%20Program/FSA/EM.Cls_T_ER_JSM_DN25_01/1.Content%20Management/DN25_Java_Spring_Micro_01_v1.0%20(1).xlsx?d=w7afa500fbcf1490295f222b9e7b6b9ad&amp;csf=1&amp;web=1&amp;e=vjKnf2" xr:uid="{34BDB80E-11E8-473B-9620-C7DD61AE43FA}"/>
    <hyperlink ref="G16" r:id="rId21" display="https://fptsoftware362.sharepoint.com/:x:/r/sites/FSO.DataStorage.Pay/FSO.FSA/Shared%20Documents/FSA/1.%20Learning%20Solutions%20(LS)/2.%20FSA%20CLS/CE/3.Training%20Program/5.Technology/Technical%20Upskilling%20Program/FSA.EC/EM.Cls_T_ER_JAVASFD_DN25_01/1.Content%20Management/syllabus.xls?d=w1a5d80e0315941a98a24ce4d59392c52&amp;csf=1&amp;web=1&amp;e=D2MeLG" xr:uid="{05BAC520-61D9-4FC6-9665-F2CCFDD9BC0D}"/>
    <hyperlink ref="G17" r:id="rId22" display="https://fptsoftware362.sharepoint.com/:x:/r/sites/FSO.DataStorage.Pay/FSO.FSA/Shared%20Documents/FSA/1.%20Learning%20Solutions%20(LS)/3.%20FSA%20SLS/Continuous%20Education/2025/Training%20Programs/IT%20Technical/EM.Cls_T_ER_OCA_HCM25_01/Information/OCA_Java_Programmer_OCAJP_Syllabus1.xlsx?d=w1bb8011dc6f149d8bdeb757ac43c6700&amp;csf=1&amp;web=1&amp;e=eANaub" xr:uid="{54A7B554-A06A-4CDF-909D-9A310EB50A0A}"/>
    <hyperlink ref="G20" r:id="rId23" display="https://fptsoftware362.sharepoint.com/:x:/r/sites/FSO.DataStorage.Pay/FSO.FSA/Shared%20Documents/FSA/1.%20Learning%20Solutions%20(LS)/2.%20FSA%20CLS/CE/3.Training%20Program/5.Technology/Technical%20Upskilling%20Program/FSA/EM.Cls_T_ER_JSE%2001_DN25_01/1.Content%20Management/Sysllabus/Syllabus_JAVASE11_OCP_v1.0.xls?d=w5211f2624d7846dda8ec2b93de3ff8ec&amp;csf=1&amp;web=1&amp;e=NnBKVH" xr:uid="{4BF6F658-32D8-4ABF-B2B9-04EDCB8DFCCE}"/>
    <hyperlink ref="G19" r:id="rId24" display="https://fptsoftware362.sharepoint.com/:x:/r/sites/FSO.DataStorage.Pay/FSO.FSA/Shared%20Documents/FSA/1.%20Learning%20Solutions%20(LS)/2.%20FSA%20CLS/CE/3.Training%20Program/5.Technology/Technical%20Upskilling%20Program/F1/EM.Cls_T_ER_J4D_DN25_01/1.Content%20Management/Content/DN25_Java_Spring_Micro_01_forEC_v1.1.xlsx?d=w416a8f8597074f75b75bfef478cb1999&amp;csf=1&amp;web=1&amp;e=BNceVn" xr:uid="{583BFB6B-A05F-4AA8-B009-FB752901F591}"/>
    <hyperlink ref="G18" r:id="rId25" display="https://fptsoftware362.sharepoint.com/:x:/r/sites/FSO.DataStorage.Pay/FSO.FSA/Shared%20Documents/FSA/1.%20Learning%20Solutions%20(LS)/1.%20FSA%20NLS/3.%20Senior%20Training/2025/5.%20Technology%20and%20Platform/4.%20Upskilling/3.%20F1/1.%20EM.Cls_T_ER_F1Z1_JIU_HN25_02/1.%20Content%20Management/1.%20Syllabus/F1_Z1_Java_Intermediate_Syllabus_v1.0%20(003)%20(1).xlsx?d=w410ce5e431de404ea011571b50142d04&amp;csf=1&amp;web=1&amp;e=6A0wwE" xr:uid="{919D522A-A2CD-4014-A6CC-C8323E07939D}"/>
    <hyperlink ref="G21" r:id="rId26" display="https://fptsoftware362.sharepoint.com/:x:/r/sites/FSO.DataStorage.Pay/FSO.FSA/Shared%20Documents/FSA/1.%20Learning%20Solutions%20(LS)/1.%20FSA%20NLS/3.%20Senior%20Training/2025/5.%20Technology%20and%20Platform/4.%20Upskilling/3.%20F1/8.%20EM.Cls_T_ER_KSB_HN25_01/1.%20Content%20Management/1.%20Syllabus/Kotlin_With_Spring_Boot_Training%20Topic%20Syllabus_v1.xlsx?d=w4fa63f67f91841018d1c647e256d0d1c&amp;csf=1&amp;web=1&amp;e=gdB4LG" xr:uid="{8437ED67-8AFB-4371-92D0-CEFF3B6C4EA6}"/>
    <hyperlink ref="G22" r:id="rId27" display="https://fptsoftware362.sharepoint.com/:x:/r/sites/FSO.DataStorage.Pay/FSO.FSA/Shared%20Documents/FSA/1.%20Learning%20Solutions%20(LS)/1.%20FSA%20NLS/3.%20Senior%20Training/2025/10.%20LMS%20Public%20course/8.%20EM.Cls_T_ER_NNJS_HN25_01/1.%20Content%20Management/1.%20Syllabus/NodeJS%20with%20NestJS%20-%20Course%20Content.xlsx?d=wa4537a6676624d419e0e8be51ac8560f&amp;csf=1&amp;web=1&amp;e=j3K0AD" xr:uid="{87616D71-436C-4F98-A8BD-782D1135641E}"/>
    <hyperlink ref="G23" r:id="rId28" display="https://fptsoftware362.sharepoint.com/:x:/r/sites/FSO.DataStorage.Pay/FSO.FSA/Shared%20Documents/FSA/1.%20Learning%20Solutions%20(LS)/1.%20FSA%20NLS/3.%20Senior%20Training/2025/10.%20LMS%20Public%20course/2.%20EM.Cls_T_ER_NodeJS-DEV_HN25_01/1.%20Content%20Management/1.%20Syllabus/NodeJS%20Developer%20-%20Syllabus%201.xlsx?d=w2d3885b78d81411a8bf362b3b6eee50b&amp;csf=1&amp;web=1&amp;e=1FlIRx" xr:uid="{6435691B-7DFF-49B3-9C2F-C2C76AAB9680}"/>
    <hyperlink ref="G24" r:id="rId29" display="https://fptsoftware362.sharepoint.com/:x:/r/sites/FSO.DataStorage.Pay/FSO.FSA/Shared%20Documents/FSA/1.%20Learning%20Solutions%20(LS)/2.%20FSA%20CLS/CE/3.Training%20Program/5.Technology/Technical%20Upskilling%20Program/FSA.EC/EM.Cls_T_ER_CNJS_DN25_01/1.Content%20Management/Complete_NodeJS_Enrich_Syllabus.xlsx?d=w3c7bf4320c984cf4a282531f4b574bc8&amp;csf=1&amp;web=1&amp;e=HVuHaa" xr:uid="{610C7AE2-81E3-4F67-8918-2AF7DA919E5A}"/>
    <hyperlink ref="G25" r:id="rId30" display="https://fptsoftware362.sharepoint.com/:x:/r/sites/FSO.DataStorage.Pay/FSO.FSA/Shared%20Documents/FSA/1.%20Learning%20Solutions%20(LS)/1.%20FSA%20NLS/3.%20Senior%20Training/2025/5.%20Technology%20and%20Platform/4.%20Upskilling/11.%20EC/3.%20EM.Cls_T_ER_BNJS_HN25_01/1.%20Content%20Management/1.%20Syllabus/Backend%20NodeJS_Syllabus_Calendar_01.xlsx?d=w18e08373cc87467b8aa3f8bfe93f7a77&amp;csf=1&amp;web=1&amp;e=eAfoZQ" xr:uid="{9A91ECA9-957D-4444-86B6-85390AFF1F69}"/>
    <hyperlink ref="G26" r:id="rId31" display="https://fptsoftware362.sharepoint.com/:x:/r/sites/FSO.DataStorage.Pay/FSO.FSA/Shared%20Documents/FSA/1.%20Learning%20Solutions%20(LS)/2.%20FSA%20CLS/CE/3.Training%20Program/5.Technology/Technical%20Upskilling%20Program/FSA/EM.Cls_T_ER_N%26R_DN25_01/1.Content%20Management/FSA_Enrich_ReactNode.xlsx?d=wceadf916ea594fca8e76913f70cd91b5&amp;csf=1&amp;web=1&amp;e=WaK7bO" xr:uid="{05CB06E4-9CBE-49E9-85E3-00039770F6FF}"/>
    <hyperlink ref="G27" r:id="rId32" display="https://fptsoftware362.sharepoint.com/:x:/r/sites/FSO.DataStorage.Pay/FSO.FSA/Shared%20Documents/FSA/7.%20FSA%20Training%20Content/1.%20Core%20Content/2.%20Senior%20Training/WIP/2.%20Cloud/3.%20Clouds%20-%20AWS,%20Azure%20-%20Syllabus/AWS_Syllabus_Solution_Architect_SAA_v0.7.xlsx?d=wae4c93703c724e86a6521ca1179614c5&amp;csf=1&amp;web=1&amp;e=hci8Lt" xr:uid="{8176C21F-1126-491A-B1AF-212FE2CB7387}"/>
    <hyperlink ref="G33" r:id="rId33" display="https://fptsoftware362.sharepoint.com/:x:/r/sites/FSO.DataStorage.Pay/FSO.FSA/Shared%20Documents/FSA/0.%20General/8.%20Program%20FSA/Skill-First%20Program/Skill%20mapping%20from%20Training%20programs/2025%20Program/Batch2_P2%20sent%20070125/Azure%20Fundamentals%20(AZ-900)/AZ900_Syllabus_v1.4.xlsx?d=wdcfa39bf8d4e4c41ad9376146627402c&amp;csf=1&amp;web=1&amp;e=ovKi8b" xr:uid="{FEAD74DC-F192-46D9-B958-2BF85F033EB4}"/>
    <hyperlink ref="G34" r:id="rId34" display="https://fptsoftware362.sharepoint.com/:x:/r/sites/FSO.DataStorage.Pay/FSO.FSA/Shared%20Documents/FSA/1.%20Learning%20Solutions%20(LS)/2.%20FSA%20CLS/CE/3.Training%20Program/5.Technology/Technical%20Upskilling%20Program/FSA/EM.Cls_T_ER_AZ104_DN25_02/1.Content%20Management/Cloud_Azure_AZ104_Associate_Syllabus_v2.2%20(1).xlsx?d=w860cbb959a2142ebb65392b1417c105b&amp;csf=1&amp;web=1&amp;e=o9hult" xr:uid="{B183A956-C984-4D22-A2A3-CEEAC8004B09}"/>
    <hyperlink ref="G37" r:id="rId35" xr:uid="{F12A787C-42EF-418F-9F1A-809FD29D0B6D}"/>
    <hyperlink ref="G38" r:id="rId36" display="https://fptsoftware362.sharepoint.com/:x:/r/sites/FSO.DataStorage.Pay/FSO.FSA/Shared%20Documents/FSA/1.%20Learning%20Solutions%20(LS)/1.%20FSA%20NLS/3.%20Senior%20Training/2025/5.%20Technology%20and%20Platform/4.%20Upskilling/1.%20FHN/7.%20EM.Cls_T_ER_ANGULAR_HN25_01/1.%20Content%20Management/1.%20Syllabus/Angular_Reskill_Syllabus_v1.0.xlsx?d=wd33bbe793c114886b5ec5eeef1edebde&amp;csf=1&amp;web=1&amp;e=bIxnNN" xr:uid="{8DABB7F1-06E1-4230-A338-3E45824A249A}"/>
    <hyperlink ref="G39" r:id="rId37" display="https://fptsoftware362.sharepoint.com/:x:/r/sites/FSO.DataStorage.Pay/FSO.FSA/Shared%20Documents/FSA/1.%20Learning%20Solutions%20(LS)/1.%20FSA%20NLS/3.%20Senior%20Training/2025/5.%20Technology%20and%20Platform/4.%20Upskilling/10.%20SCM/2.%20EM.Cls_T_ER_FE-REACTJS_HN25_01/1.%20Content%20Management/1.%20Syllabus/ER_2025_SCM_Front-End%20ReactJS_Syllabus_2.0.xlsx?d=w318dcb6f31ba4ca58b15e9f02e6d601a&amp;csf=1&amp;web=1&amp;e=FZzSzU" xr:uid="{BA2D8396-0EBE-47BF-9BBC-58417C4BB721}"/>
    <hyperlink ref="G40" r:id="rId38" display="https://fptsoftware362.sharepoint.com/:x:/r/sites/FSO.DataStorage.Pay/FSO.FSA/Shared%20Documents/FSA/1.%20Learning%20Solutions%20(LS)/2.%20FSA%20CLS/CE/3.Training%20Program/5.Technology/Technical%20Upskilling%20Program/FSA/EM.Cls_T_ER_MFRN_DN25_01/1.Content%20Management/Micro-Frontend%20-%20ReactJS%20%26%20NextJS.xlsx?d=wc2bd425177b34429994bc3903dc0bc03&amp;csf=1&amp;web=1&amp;e=MVm4M6" xr:uid="{E54C552C-1B50-4F81-B502-6495326BC92F}"/>
    <hyperlink ref="G41" r:id="rId39" display="https://fptsoftware362.sharepoint.com/:x:/r/sites/FSO.DataStorage.Pay/FSO.FSA/Shared%20Documents/FSA/1.%20Learning%20Solutions%20(LS)/2.%20FSA%20CLS/CE/3.Training%20Program/5.Technology/Technical%20Upskilling%20Program/FSA.EC/EM.Cls_T_ER_WFsF_DN25_01/1.Content%20Management/Enrich%20Web%20FullStack%20Foundation%20Syllabus%20(MongoDB)%20-%207%20days.xlsx?d=w61a64e1c6e664565be3a4d006c873bdc&amp;csf=1&amp;web=1&amp;e=l9RBhY" xr:uid="{DEA3FA27-6128-4DD4-BCD3-95F5E1F027F9}"/>
    <hyperlink ref="G42" r:id="rId40" display="https://fptsoftware362.sharepoint.com/:x:/r/sites/FSO.DataStorage.Pay/FSO.FSA/Shared%20Documents/FSA/1.%20Learning%20Solutions%20(LS)/2.%20FSA%20CLS/CE/3.Training%20Program/5.Technology/Technical%20Upskilling%20Program/F1/EM.Cls_T_ER_DEVOPSF_DN25_01/1.%20Content%20Management/FSOFT_F1_G5_Devops_Syllabus_v0.7.xlsx?d=w065b05f9f3eb47aa8c4dc8599391c381&amp;csf=1&amp;web=1&amp;e=yFK7b0" xr:uid="{4DF8D57B-F8A4-40CF-8015-49628C281752}"/>
    <hyperlink ref="G43" r:id="rId41" display="https://fptsoftware362.sharepoint.com/:x:/r/sites/FSO.DataStorage.Pay/FSO.FSA/Shared%20Documents/FSA/1.%20Learning%20Solutions%20(LS)/2.%20FSA%20CLS/CE/3.Training%20Program/5.Technology/Technical%20Upskilling%20Program/FSA/EM.Cls_T_ER_SADF_DN25_01/1.%20Content%20Management/Software_Architecture%20Syllabus.xlsx?d=wf62b488c6a234ff59855a04a9a42dfc8&amp;csf=1&amp;web=1&amp;e=E8SCtC" xr:uid="{BBF3E318-B3C1-408C-97E7-3B766FA00129}"/>
    <hyperlink ref="G44" r:id="rId42" display="https://fptsoftware362.sharepoint.com/:x:/r/sites/FSO.DataStorage.Pay/FSO.FSA/Shared%20Documents/FSA/1.%20Learning%20Solutions%20(LS)/2.%20FSA%20CLS/CE/3.Training%20Program/5.Technology/Technical%20Upskilling%20Program/FSA/EM.Cls_T_ER_SADF_DN25_01/1.%20Content%20Management/Software_Architecture%20Syllabus.xlsx?d=wf62b488c6a234ff59855a04a9a42dfc8&amp;csf=1&amp;web=1&amp;e=WlQ9zh" xr:uid="{4F39B64B-5E92-4C1D-A159-777E863BF33E}"/>
    <hyperlink ref="G5" r:id="rId43" display="https://fptsoftware362.sharepoint.com/:x:/r/sites/FSO.DataStorage.Pay/FSO.FSA/Shared%20Documents/FSA/7.%20FSA%20Training%20Content/1.%20Core%20Content/2.%20Senior%20Training/WIP/1.%20Technical/02.%20FSU_Data_Engineering_Data_Analyst/Intermediate%20Data%20Engineering%20(GHC.DHM)/GHC_DE_Intermediate_Syllabus_v2.0.xlsx?d=w8670d596bbc44b02b54467680463f54b&amp;csf=1&amp;web=1&amp;e=HL3GxM" xr:uid="{F425C3F0-A09B-487D-AAEA-1DB0529AD8B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98724-F0C5-44BE-9F5C-3119B2AE2424}">
  <dimension ref="C2:D10"/>
  <sheetViews>
    <sheetView workbookViewId="0">
      <selection activeCell="F20" sqref="F20"/>
    </sheetView>
  </sheetViews>
  <sheetFormatPr defaultRowHeight="15"/>
  <cols>
    <col min="2" max="2" width="12.5703125" customWidth="1"/>
    <col min="3" max="3" width="29.28515625" customWidth="1"/>
    <col min="4" max="4" width="83.5703125" customWidth="1"/>
  </cols>
  <sheetData>
    <row r="2" spans="3:4" ht="18.75" customHeight="1">
      <c r="C2" s="186" t="s">
        <v>450</v>
      </c>
      <c r="D2" s="6" t="s">
        <v>451</v>
      </c>
    </row>
    <row r="3" spans="3:4">
      <c r="C3" s="66" t="s">
        <v>14</v>
      </c>
      <c r="D3" s="5" t="s">
        <v>452</v>
      </c>
    </row>
    <row r="4" spans="3:4">
      <c r="C4" s="66" t="s">
        <v>49</v>
      </c>
      <c r="D4" s="5" t="s">
        <v>453</v>
      </c>
    </row>
    <row r="5" spans="3:4">
      <c r="C5" s="66" t="s">
        <v>73</v>
      </c>
      <c r="D5" s="5" t="s">
        <v>454</v>
      </c>
    </row>
    <row r="8" spans="3:4" ht="19.5" customHeight="1">
      <c r="C8" s="187" t="s">
        <v>5</v>
      </c>
      <c r="D8" s="188" t="s">
        <v>451</v>
      </c>
    </row>
    <row r="9" spans="3:4">
      <c r="C9" s="5" t="s">
        <v>455</v>
      </c>
      <c r="D9" s="5" t="s">
        <v>456</v>
      </c>
    </row>
    <row r="10" spans="3:4">
      <c r="C10" s="189" t="s">
        <v>457</v>
      </c>
      <c r="D10" s="5" t="s">
        <v>458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4d22854-e306-478f-bdc8-d341a49ba7cf" xsi:nil="true"/>
    <lcf76f155ced4ddcb4097134ff3c332f xmlns="fdf7c76c-27fb-4e64-a31b-b327cd9dae2a">
      <Terms xmlns="http://schemas.microsoft.com/office/infopath/2007/PartnerControls"/>
    </lcf76f155ced4ddcb4097134ff3c332f>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528CF09F394974384566E65EE47413A" ma:contentTypeVersion="16" ma:contentTypeDescription="Create a new document." ma:contentTypeScope="" ma:versionID="31012613ea7692665bc7336eb9c74293">
  <xsd:schema xmlns:xsd="http://www.w3.org/2001/XMLSchema" xmlns:xs="http://www.w3.org/2001/XMLSchema" xmlns:p="http://schemas.microsoft.com/office/2006/metadata/properties" xmlns:ns1="http://schemas.microsoft.com/sharepoint/v3" xmlns:ns2="fdf7c76c-27fb-4e64-a31b-b327cd9dae2a" xmlns:ns3="14d22854-e306-478f-bdc8-d341a49ba7cf" targetNamespace="http://schemas.microsoft.com/office/2006/metadata/properties" ma:root="true" ma:fieldsID="8bcfc8524f60c3336112e560018a872f" ns1:_="" ns2:_="" ns3:_="">
    <xsd:import namespace="http://schemas.microsoft.com/sharepoint/v3"/>
    <xsd:import namespace="fdf7c76c-27fb-4e64-a31b-b327cd9dae2a"/>
    <xsd:import namespace="14d22854-e306-478f-bdc8-d341a49ba7c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f7c76c-27fb-4e64-a31b-b327cd9dae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d22854-e306-478f-bdc8-d341a49ba7c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fea1e68-4573-45f1-999c-2bd3829cc08b}" ma:internalName="TaxCatchAll" ma:showField="CatchAllData" ma:web="14d22854-e306-478f-bdc8-d341a49ba7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2D6634-16E1-4085-8879-BC7D4352BA9B}"/>
</file>

<file path=customXml/itemProps2.xml><?xml version="1.0" encoding="utf-8"?>
<ds:datastoreItem xmlns:ds="http://schemas.openxmlformats.org/officeDocument/2006/customXml" ds:itemID="{371B06A5-0DBC-4B9E-8BBA-A5EDFB9F03F0}"/>
</file>

<file path=customXml/itemProps3.xml><?xml version="1.0" encoding="utf-8"?>
<ds:datastoreItem xmlns:ds="http://schemas.openxmlformats.org/officeDocument/2006/customXml" ds:itemID="{02E7DDAA-5426-4CCF-ADB7-361D02C247CB}"/>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Linh Ho Duc</dc:creator>
  <cp:keywords/>
  <dc:description/>
  <cp:lastModifiedBy/>
  <cp:revision/>
  <dcterms:created xsi:type="dcterms:W3CDTF">2026-04-15T07:04:43Z</dcterms:created>
  <dcterms:modified xsi:type="dcterms:W3CDTF">2026-05-26T02:35:33Z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0x0101004528CF09F394974384566E65EE47413A</vt:lpwstr>
  </property>
  <property fmtid="{D5CDD505-2E9C-101B-9397-08002B2CF9AE}" pid="3" name="MediaServiceImageTags">
    <vt:lpwstr/>
  </property>
</Properties>
</file>